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naire_responses_rows" sheetId="1" r:id="rId4"/>
    <sheet state="hidden" name="Data" sheetId="2" r:id="rId5"/>
    <sheet state="visible" name="Input Data" sheetId="3" r:id="rId6"/>
    <sheet state="visible" name="Model" sheetId="4" r:id="rId7"/>
    <sheet state="visible" name="Summary" sheetId="5" r:id="rId8"/>
    <sheet state="visible" name="Graphs" sheetId="6" r:id="rId9"/>
    <sheet state="visible" name="Questions" sheetId="7" r:id="rId10"/>
  </sheets>
  <definedNames>
    <definedName name="tar_dur_1">'Input Data'!$G$11</definedName>
    <definedName name="retirement_yr">Model!$C$220</definedName>
    <definedName name="dn_nw_10y">Model!$N$58</definedName>
    <definedName name="isa_limit">Model!$C$474</definedName>
    <definedName name="ann_rent_yield_2">'Input Data'!$C$63</definedName>
    <definedName name="tar_amount_2">'Input Data'!$E$13</definedName>
    <definedName name="tar_savings_2">'Input Data'!$I$13</definedName>
    <definedName name="pa_tax_lb">'Input Data'!$C$89</definedName>
    <definedName name="hal_mor_mp">'Input Data'!$M$47</definedName>
    <definedName name="tar_date_2">'Input Data'!$D$13</definedName>
    <definedName name="psy_fas">'Input Data'!$F$41</definedName>
    <definedName name="tar_amount_3">'Input Data'!$E$12</definedName>
    <definedName name="psy_rdm">'Input Data'!$F$39</definedName>
    <definedName name="rent_util_2">'Input Data'!$D$63</definedName>
    <definedName name="pens_ann_inc_gro">Model!$C$390</definedName>
    <definedName name="pa_tax_ub">'Input Data'!$D$89</definedName>
    <definedName name="inv_lump_pct">Model!$C$431</definedName>
    <definedName name="year_birth">'Input Data'!$B$2</definedName>
    <definedName name="edu_level">'Input Data'!$B$7</definedName>
    <definedName name="hmrc_rate">'Input Data'!$C$72</definedName>
    <definedName name="liv_sit">'Input Data'!$B$4</definedName>
    <definedName name="rent_util_3">'Input Data'!$D$64</definedName>
    <definedName name="ann_payment">Model!$C$135</definedName>
    <definedName name="br_tax_ub">'Input Data'!$D$90</definedName>
    <definedName name="mon_debt_ir_1">#REF!</definedName>
    <definedName name="mon_payment_1">Model!$C$136</definedName>
    <definedName name="ann_th_salary">'Input Data'!$E$22</definedName>
    <definedName name="ann_debt_ir_2">#REF!</definedName>
    <definedName name="uk_pen_gr">'Input Data'!$C$70</definedName>
    <definedName name="mon_payment_2">#REF!</definedName>
    <definedName name="uk_min_wage">'Input Data'!$C$71</definedName>
    <definedName name="ann_gross_sa">'Input Data'!$C$21</definedName>
    <definedName name="psy_fop">'Input Data'!$F$40</definedName>
    <definedName name="br_tax_lb">'Input Data'!$C$90</definedName>
    <definedName name="hal_mor_apr_red">#REF!</definedName>
    <definedName name="tar_date_1">'Input Data'!$D$11</definedName>
    <definedName name="br_tax_pct">'Input Data'!$E$90</definedName>
    <definedName name="dn_nw_20y">Model!$AH$40</definedName>
    <definedName name="age">'Input Data'!$B$3</definedName>
    <definedName name="msci_ann_div">'Input Data'!$D$78</definedName>
    <definedName name="dn_nw_5y">Model!$I$58</definedName>
    <definedName name="hal_mor_apr">'Input Data'!$L$47</definedName>
    <definedName name="ae_pen_mo">'Input Data'!$L$39</definedName>
    <definedName name="down_payment">Model!$C$130</definedName>
    <definedName name="tar_dur_2">'Input Data'!$G$13</definedName>
    <definedName name="mon_ni">'Input Data'!$B$44</definedName>
    <definedName name="uk_lt_ir">'Input Data'!$C$69</definedName>
    <definedName name="ann_exp">'Input Data'!$C$37</definedName>
    <definedName name="ann_debt_ir_1">Model!$C$134</definedName>
    <definedName name="mon_exp">'Input Data'!$B$37</definedName>
    <definedName name="ann_rent_yield_3">'Input Data'!$C$64</definedName>
    <definedName name="hr_tax_lb">'Input Data'!$C$91</definedName>
    <definedName name="tar_savings_1">'Input Data'!$I$11</definedName>
    <definedName name="hous_dep">'Input Data'!$B$5</definedName>
    <definedName name="ann_payment_2">#REF!</definedName>
    <definedName name="inv_cont_pct">Model!$C$473</definedName>
    <definedName name="dn_nw_bl">Model!$D$58</definedName>
    <definedName name="hr_tax_ub">'Input Data'!$D$91</definedName>
    <definedName name="inv_bal_bl">'Input Data'!$J$35</definedName>
    <definedName name="ar_tax_lb">'Input Data'!$C$92</definedName>
    <definedName name="dn_nw_1y">Model!$E$58</definedName>
    <definedName name="pa_tax_pct">'Input Data'!$E$89</definedName>
    <definedName name="ann_payment_1">#REF!</definedName>
    <definedName name="rent_util_1">'Input Data'!$D$62</definedName>
    <definedName name="job_status">'Input Data'!$B$6</definedName>
    <definedName name="msci_ann_gr">'Input Data'!$D$77</definedName>
    <definedName name="tar_amount_1">'Input Data'!$E$11</definedName>
    <definedName name="hal_mor_br">'Input Data'!$N$47</definedName>
    <definedName name="ann_ni">'Input Data'!$C$44</definedName>
    <definedName name="hr_tax_pct">'Input Data'!$E$91</definedName>
    <definedName name="sp_ann_div">'Input Data'!$D$80</definedName>
    <definedName name="sp_ann_gr">'Input Data'!$D$79</definedName>
    <definedName name="mon_debt_ir_2">#REF!</definedName>
    <definedName name="tar_dur_3">'Input Data'!$G$12</definedName>
    <definedName name="tar_date_3">'Input Data'!$D$12</definedName>
    <definedName name="ar_tax_pct">'Input Data'!$E$92</definedName>
    <definedName name="ann_rent_yield_1">'Input Data'!$C$62</definedName>
    <definedName hidden="1" localSheetId="2" name="_xlnm._FilterDatabase">'Input Data'!$I$21:$M$27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updated to be the same as the mortgage monthly payment instead of 817 (input data)
	-Dylan Harris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37">
      <text>
        <t xml:space="preserve">can update to be more precise
	-Dylan Harris</t>
      </text>
    </comment>
    <comment authorId="0" ref="E405">
      <text>
        <t xml:space="preserve">Question on independent lever impact - should we already at this stage assume that all goals are met and all "no-brainers" are done? Because in this case we should only have 4.5k cash flow to play around with
	-Linda Du
updating so that goals are assumed met. that is in priority order, goals&gt;levers
	-Dylan Harris</t>
      </text>
    </comment>
  </commentList>
</comments>
</file>

<file path=xl/sharedStrings.xml><?xml version="1.0" encoding="utf-8"?>
<sst xmlns="http://schemas.openxmlformats.org/spreadsheetml/2006/main" count="1246" uniqueCount="587">
  <si>
    <t>id</t>
  </si>
  <si>
    <t>user_id</t>
  </si>
  <si>
    <t>first_name</t>
  </si>
  <si>
    <t>last_name</t>
  </si>
  <si>
    <t>email_address</t>
  </si>
  <si>
    <t>age_or_year_of_birth</t>
  </si>
  <si>
    <t>uk_location</t>
  </si>
  <si>
    <t>created_at</t>
  </si>
  <si>
    <t>updated_at</t>
  </si>
  <si>
    <t>current_living_situation</t>
  </si>
  <si>
    <t>highest_education_level</t>
  </si>
  <si>
    <t>living_arrangement</t>
  </si>
  <si>
    <t>additional_background_info</t>
  </si>
  <si>
    <t>current_work_situation</t>
  </si>
  <si>
    <t>monthly_take_home_salary</t>
  </si>
  <si>
    <t>other_income_sources</t>
  </si>
  <si>
    <t>monthly_rent_mortgage</t>
  </si>
  <si>
    <t>monthly_bills_utilities</t>
  </si>
  <si>
    <t>monthly_transport</t>
  </si>
  <si>
    <t>monthly_subscriptions</t>
  </si>
  <si>
    <t>monthly_food_groceries</t>
  </si>
  <si>
    <t>monthly_leisure_entertainment</t>
  </si>
  <si>
    <t>monthly_other_expenses</t>
  </si>
  <si>
    <t>has_savings_accounts</t>
  </si>
  <si>
    <t>savings_accounts</t>
  </si>
  <si>
    <t>has_debts</t>
  </si>
  <si>
    <t>debts</t>
  </si>
  <si>
    <t>has_investment_platforms</t>
  </si>
  <si>
    <t>investment_platforms</t>
  </si>
  <si>
    <t>has_pension_accounts</t>
  </si>
  <si>
    <t>pension_accounts</t>
  </si>
  <si>
    <t>uses_tax_efficiency_methods</t>
  </si>
  <si>
    <t>tax_efficiency_details</t>
  </si>
  <si>
    <t>has_other_assets</t>
  </si>
  <si>
    <t>other_assets</t>
  </si>
  <si>
    <t>has_automatic_plans</t>
  </si>
  <si>
    <t>automatic_plans</t>
  </si>
  <si>
    <t>has_emergency_fund</t>
  </si>
  <si>
    <t>emergency_fund_months</t>
  </si>
  <si>
    <t>emergency_fund_amount</t>
  </si>
  <si>
    <t>has_dependents</t>
  </si>
  <si>
    <t>dependents_details</t>
  </si>
  <si>
    <t>gross_annual_salary</t>
  </si>
  <si>
    <t>net_monthly_salary</t>
  </si>
  <si>
    <t>other_income_frequency</t>
  </si>
  <si>
    <t>debt_total_amount</t>
  </si>
  <si>
    <t>monthly_surplus</t>
  </si>
  <si>
    <t>data_collection_date</t>
  </si>
  <si>
    <t>monthly_rent_mortgage_numeric</t>
  </si>
  <si>
    <t>monthly_bills_utilities_numeric</t>
  </si>
  <si>
    <t>monthly_transport_numeric</t>
  </si>
  <si>
    <t>monthly_subscriptions_numeric</t>
  </si>
  <si>
    <t>monthly_food_groceries_numeric</t>
  </si>
  <si>
    <t>monthly_leisure_entertainment_numeric</t>
  </si>
  <si>
    <t>monthly_other_expenses_numeric</t>
  </si>
  <si>
    <t>emergency_fund_amount_numeric</t>
  </si>
  <si>
    <t>country</t>
  </si>
  <si>
    <t>city</t>
  </si>
  <si>
    <t>investment_service_providers</t>
  </si>
  <si>
    <t>other_income_amount</t>
  </si>
  <si>
    <t>529278c1-e6bb-4ee4-a877-1436b5c84840</t>
  </si>
  <si>
    <t>Alpha</t>
  </si>
  <si>
    <t>2025-05-28 12:01:18.565955+00</t>
  </si>
  <si>
    <t>own-mortgage</t>
  </si>
  <si>
    <t>undergraduate</t>
  </si>
  <si>
    <t>live-with-family</t>
  </si>
  <si>
    <t>unemployed</t>
  </si>
  <si>
    <t>None</t>
  </si>
  <si>
    <t>no</t>
  </si>
  <si>
    <t>[{"bank": "", "balance": "", "interestRate": ""}]</t>
  </si>
  <si>
    <t>yes</t>
  </si>
  <si>
    <t>[{"type": "mortgage", "provider": "Lloyds", "customType": "", "interestRate": "1.46", "monthlyPayment": "2220.87", "outstandingBalance": "346257"}]</t>
  </si>
  <si>
    <t>[{"provider": "Charles Stanley", "totalValue": "111,104", "accountType": "ISA", "monthlyContribution": "", "performanceLastYear": "1.49%"}]</t>
  </si>
  <si>
    <t>[{"type": "workplace", "provider": "L&amp;G", "currentValue": "53755.57", "monthlyContribution": "0"}, {"type": "workplace", "provider": "L&amp;G", "currentValue": "57674.1", "monthlyContribution": ""}]</t>
  </si>
  <si>
    <t>[]</t>
  </si>
  <si>
    <t>2025-05-28 12:01:17.182+00</t>
  </si>
  <si>
    <t>England</t>
  </si>
  <si>
    <t>London</t>
  </si>
  <si>
    <t>Time Horizon</t>
  </si>
  <si>
    <t>Category</t>
  </si>
  <si>
    <t>Goal</t>
  </si>
  <si>
    <t>Calculation</t>
  </si>
  <si>
    <t>Helpers</t>
  </si>
  <si>
    <t>Dates</t>
  </si>
  <si>
    <t>Short-Term</t>
  </si>
  <si>
    <t>Career &amp; Education</t>
  </si>
  <si>
    <t>Launching a Venture / Franchise</t>
  </si>
  <si>
    <t>savings target</t>
  </si>
  <si>
    <t>A.</t>
  </si>
  <si>
    <t>B.</t>
  </si>
  <si>
    <t>C.</t>
  </si>
  <si>
    <t>Medium-Term</t>
  </si>
  <si>
    <t>Master’s Degree or Further Study</t>
  </si>
  <si>
    <t>Essentials</t>
  </si>
  <si>
    <t>Long-Term</t>
  </si>
  <si>
    <t>Starting a Business (scaled-up funding)</t>
  </si>
  <si>
    <t>Family &amp; Legacy</t>
  </si>
  <si>
    <t>N/A</t>
  </si>
  <si>
    <t>Professional Qualification or Certification</t>
  </si>
  <si>
    <t>Financial Stability</t>
  </si>
  <si>
    <t>Course or Training Fees</t>
  </si>
  <si>
    <t>Lifestyle &amp; Leisure</t>
  </si>
  <si>
    <t>Laptop / Tools for Work</t>
  </si>
  <si>
    <t>Property &amp; Real Estate</t>
  </si>
  <si>
    <t>Starting a Business (initial expenses)</t>
  </si>
  <si>
    <t>Emergency Fund</t>
  </si>
  <si>
    <t>Retirement &amp; Future Security</t>
  </si>
  <si>
    <t>Rent Deposit / Moving Costs</t>
  </si>
  <si>
    <t>Paying off Credit Card Debt</t>
  </si>
  <si>
    <t>Paying off Buy Now Pay Later (BNPL)</t>
  </si>
  <si>
    <t>Paying off Overdraft</t>
  </si>
  <si>
    <t>Covering Annual Bills</t>
  </si>
  <si>
    <t>Child’s Education Fund</t>
  </si>
  <si>
    <t>Childcare Savings</t>
  </si>
  <si>
    <t>Inheritance Planning</t>
  </si>
  <si>
    <t>Philanthropy / Charity Fund</t>
  </si>
  <si>
    <t>Wedding Fund</t>
  </si>
  <si>
    <t>IVF or Fertility Treatment</t>
  </si>
  <si>
    <t>Having a Baby (preparation costs)</t>
  </si>
  <si>
    <t>Supporting a Partner or Relative</t>
  </si>
  <si>
    <t>Paying off Loan</t>
  </si>
  <si>
    <t>Building a Safety Net</t>
  </si>
  <si>
    <t>Saving for a Career Break or Sabbatical</t>
  </si>
  <si>
    <t>Extended Travel / Gap Year</t>
  </si>
  <si>
    <t>Holiday / Travel</t>
  </si>
  <si>
    <t>Concerts / Events / Festivals</t>
  </si>
  <si>
    <t>New Tech or Gadgets</t>
  </si>
  <si>
    <t>Wedding or Special Occasion Attendance</t>
  </si>
  <si>
    <t>Fitness Membership / Equipment</t>
  </si>
  <si>
    <t>Buying a Car</t>
  </si>
  <si>
    <t>Saving for a House Deposit</t>
  </si>
  <si>
    <t>Buying a Property</t>
  </si>
  <si>
    <t>Paying Off Mortgage Early</t>
  </si>
  <si>
    <t>Furniture or Home Decor</t>
  </si>
  <si>
    <t>Retirement Savings</t>
  </si>
  <si>
    <t>Financial Independence (FIRE goals)</t>
  </si>
  <si>
    <t>Pension Top-Up Plan</t>
  </si>
  <si>
    <t>Building an Investment Portfolio</t>
  </si>
  <si>
    <t>Customer data</t>
  </si>
  <si>
    <t>Year of birth</t>
  </si>
  <si>
    <t>Age</t>
  </si>
  <si>
    <t>Living situation</t>
  </si>
  <si>
    <t>Household Dependents?</t>
  </si>
  <si>
    <t>Job status</t>
  </si>
  <si>
    <t>Education level</t>
  </si>
  <si>
    <t>Financial goals</t>
  </si>
  <si>
    <t>Timeline</t>
  </si>
  <si>
    <t>Target Date 
formatted as (DD/MM/YYYY)</t>
  </si>
  <si>
    <t>Target total
(must be a number)</t>
  </si>
  <si>
    <t>Target Amount Frequency</t>
  </si>
  <si>
    <t>Duration</t>
  </si>
  <si>
    <t>Savings Already Allocated</t>
  </si>
  <si>
    <t>Priority</t>
  </si>
  <si>
    <t>Additional Details 
(mortgage interest rate, etc.)</t>
  </si>
  <si>
    <t>Monthly</t>
  </si>
  <si>
    <t>Years</t>
  </si>
  <si>
    <t>High</t>
  </si>
  <si>
    <t>Months</t>
  </si>
  <si>
    <t>Annually</t>
  </si>
  <si>
    <t>Medium</t>
  </si>
  <si>
    <t>Income &amp; Expenses</t>
  </si>
  <si>
    <t>Assets &amp; Debts</t>
  </si>
  <si>
    <t>Income</t>
  </si>
  <si>
    <t>Current &amp; Savings accounts</t>
  </si>
  <si>
    <t>Income source</t>
  </si>
  <si>
    <t>Payment Frequency</t>
  </si>
  <si>
    <t>Annual Gross Salary</t>
  </si>
  <si>
    <t>Net Monthly Salary</t>
  </si>
  <si>
    <t>Annual Takehome Salary</t>
  </si>
  <si>
    <t>Salary</t>
  </si>
  <si>
    <t>Account type</t>
  </si>
  <si>
    <t>Provider</t>
  </si>
  <si>
    <t>Balance</t>
  </si>
  <si>
    <t>Interest Rate (%)</t>
  </si>
  <si>
    <t>Last year dividends (%)</t>
  </si>
  <si>
    <t>Additional</t>
  </si>
  <si>
    <t>NA</t>
  </si>
  <si>
    <t>Cash/ savings account 1</t>
  </si>
  <si>
    <t/>
  </si>
  <si>
    <t>Total income minus tax</t>
  </si>
  <si>
    <t>Cash/ savings account 2</t>
  </si>
  <si>
    <t>Cash/ savings account 3</t>
  </si>
  <si>
    <t>Cash/ savings account 4</t>
  </si>
  <si>
    <t>Cash/ savings account 5</t>
  </si>
  <si>
    <t>Expenses (monthly)</t>
  </si>
  <si>
    <t>Total</t>
  </si>
  <si>
    <t>Dependent Details</t>
  </si>
  <si>
    <t>Annual</t>
  </si>
  <si>
    <t>Relationship</t>
  </si>
  <si>
    <t>Financial Support</t>
  </si>
  <si>
    <t>Investment accounts</t>
  </si>
  <si>
    <t>Monthly Contributions</t>
  </si>
  <si>
    <t>Last year growth rate (%)</t>
  </si>
  <si>
    <t>Utilities</t>
  </si>
  <si>
    <t>ISA</t>
  </si>
  <si>
    <t>Transport</t>
  </si>
  <si>
    <t>Subscriptions</t>
  </si>
  <si>
    <t>Food and Groceries</t>
  </si>
  <si>
    <t xml:space="preserve">Leisure and Entertainment </t>
  </si>
  <si>
    <t>Other regular expenses</t>
  </si>
  <si>
    <t>Total expenses</t>
  </si>
  <si>
    <t>Psychographic assessment</t>
  </si>
  <si>
    <t>Pension accounts</t>
  </si>
  <si>
    <t>Indicator</t>
  </si>
  <si>
    <t>Score (/5)</t>
  </si>
  <si>
    <t>Risk &amp; Decision-making</t>
  </si>
  <si>
    <t>3.68</t>
  </si>
  <si>
    <t>L&amp;G</t>
  </si>
  <si>
    <t>Future Orientation &amp; Planning</t>
  </si>
  <si>
    <t>5</t>
  </si>
  <si>
    <t>workplace</t>
  </si>
  <si>
    <t>Financial Awareness &amp; Stability</t>
  </si>
  <si>
    <t>4.13</t>
  </si>
  <si>
    <t>Net income</t>
  </si>
  <si>
    <t>Debts</t>
  </si>
  <si>
    <t>Property Estimation Tool</t>
  </si>
  <si>
    <t>Debt type</t>
  </si>
  <si>
    <t>Custom Type</t>
  </si>
  <si>
    <t>APR (%)</t>
  </si>
  <si>
    <t>Monthly payment</t>
  </si>
  <si>
    <t>Outstanding balance</t>
  </si>
  <si>
    <t>Automations/ additional notes</t>
  </si>
  <si>
    <t>Variable</t>
  </si>
  <si>
    <t>Estimated Value (2025)</t>
  </si>
  <si>
    <t>Notes</t>
  </si>
  <si>
    <t>Lloyds</t>
  </si>
  <si>
    <t>Mortgage</t>
  </si>
  <si>
    <t>UK average per household with a mortgage</t>
  </si>
  <si>
    <t>Average Mortgage Interest Rate</t>
  </si>
  <si>
    <t>https://www.uswitch.com/mortgages/uk-mortgage-rates-today/</t>
  </si>
  <si>
    <t>Median Monthly Mortgage Payment</t>
  </si>
  <si>
    <t>Months since purchase</t>
  </si>
  <si>
    <t>Median Home Value Growth Rate</t>
  </si>
  <si>
    <t>https://www.ons.gov.uk/economy/inflationandpriceindices/bulletins/privaterentandhousepricesuk/june2025</t>
  </si>
  <si>
    <t>Typical LTV at Origination</t>
  </si>
  <si>
    <t>Majority of new UK mortgages</t>
  </si>
  <si>
    <t>Estimated Original Mortage Value</t>
  </si>
  <si>
    <t>Assumed based on current value (assuming 2 years of payments)</t>
  </si>
  <si>
    <t>Estimated Original Property Value</t>
  </si>
  <si>
    <t>Estimated Current Property Value</t>
  </si>
  <si>
    <t>Total asset value today</t>
  </si>
  <si>
    <t>Benchmarks and external data</t>
  </si>
  <si>
    <t>Total debt value today</t>
  </si>
  <si>
    <t>Property yields</t>
  </si>
  <si>
    <t>Rental property</t>
  </si>
  <si>
    <t>Annual rental yield</t>
  </si>
  <si>
    <t>% utilization (rented out)</t>
  </si>
  <si>
    <t>Source</t>
  </si>
  <si>
    <t>https://www.rpagroupllc.com/news/uk-market-report-april-2025</t>
  </si>
  <si>
    <t>Central bank interest rates</t>
  </si>
  <si>
    <t>Rate used</t>
  </si>
  <si>
    <t>%</t>
  </si>
  <si>
    <t>UK long-term interest rate minus 50 bps (bank profit margin)</t>
  </si>
  <si>
    <t>https://www.capitaleconomics.com/uk/lower-gdp-growth-and-cpi-inflation-most-expect-lead-more-interest-rate-cuts</t>
  </si>
  <si>
    <t>Pension growth rate</t>
  </si>
  <si>
    <t>https://www.pensionbee.com/uk/press/another-strong-year-in-2025</t>
  </si>
  <si>
    <t>UK minimum wage</t>
  </si>
  <si>
    <t>https://www.gov.uk/national-minimum-wage-rates</t>
  </si>
  <si>
    <t>HMRC top-up rate</t>
  </si>
  <si>
    <t>Equity benchmarks</t>
  </si>
  <si>
    <t>Benchmark index/ ETF</t>
  </si>
  <si>
    <t>MSCI GBP (URTH)</t>
  </si>
  <si>
    <t>Annual growth rate (GBP)</t>
  </si>
  <si>
    <r>
      <rPr>
        <rFont val="Source Sans 3"/>
        <color rgb="FF1155CC"/>
        <u/>
      </rPr>
      <t>26-year historic rate</t>
    </r>
    <r>
      <rPr>
        <rFont val="Source Sans 3"/>
      </rPr>
      <t xml:space="preserve"> for MSCI GBP</t>
    </r>
  </si>
  <si>
    <t>Annual dividends paid out</t>
  </si>
  <si>
    <t>Forward dividend yield rate</t>
  </si>
  <si>
    <t>S&amp;P 500 (VOO)</t>
  </si>
  <si>
    <t>10-Year CAGR</t>
  </si>
  <si>
    <t>VOO long term dividend yield</t>
  </si>
  <si>
    <t>UK Income Tax bands</t>
  </si>
  <si>
    <t>https://www.gov.uk/income-tax-rates</t>
  </si>
  <si>
    <t>Band</t>
  </si>
  <si>
    <t>Taxable income (lower bound)</t>
  </si>
  <si>
    <t>Taxable income (upper bound)</t>
  </si>
  <si>
    <t>Tax rate</t>
  </si>
  <si>
    <t>Personal allowance</t>
  </si>
  <si>
    <t>Basic rate</t>
  </si>
  <si>
    <t>Higher rate</t>
  </si>
  <si>
    <t>Additional rate</t>
  </si>
  <si>
    <t>Do-Nothing Scenario</t>
  </si>
  <si>
    <t>Assumptions</t>
  </si>
  <si>
    <t>No changes are made to income/expenses</t>
  </si>
  <si>
    <t>Goals are not yet considered</t>
  </si>
  <si>
    <t>Net income by year</t>
  </si>
  <si>
    <t>Interest/ growth rates</t>
  </si>
  <si>
    <t>Baseline June 2025</t>
  </si>
  <si>
    <t>Total take home salary</t>
  </si>
  <si>
    <t>Total dividend income</t>
  </si>
  <si>
    <t>Total expenses (inc. mortgage)</t>
  </si>
  <si>
    <t>Expenses % salary</t>
  </si>
  <si>
    <t>Income allocation to savings</t>
  </si>
  <si>
    <t>Income allocation to investments</t>
  </si>
  <si>
    <t>Net wealth by year</t>
  </si>
  <si>
    <t>Assets</t>
  </si>
  <si>
    <t>Cash/ savings accounts</t>
  </si>
  <si>
    <t>Account 1</t>
  </si>
  <si>
    <t>Account 2</t>
  </si>
  <si>
    <t>Account 3</t>
  </si>
  <si>
    <t>Account 4</t>
  </si>
  <si>
    <t>Account 5</t>
  </si>
  <si>
    <t>Cash/ savings total</t>
  </si>
  <si>
    <t>Investments total</t>
  </si>
  <si>
    <t>Pensions total</t>
  </si>
  <si>
    <t>Liquid Assets Total</t>
  </si>
  <si>
    <t>Other assets</t>
  </si>
  <si>
    <t>Other assets total</t>
  </si>
  <si>
    <t>Assets Total</t>
  </si>
  <si>
    <t>Debts total</t>
  </si>
  <si>
    <t>Net Wealth Total</t>
  </si>
  <si>
    <t>Net wealth impact summary</t>
  </si>
  <si>
    <t>Projected Value</t>
  </si>
  <si>
    <t>Meet Financial Goal: Mortgage</t>
  </si>
  <si>
    <t>Property is bought on fixed-interest mortgage, capital gains are considered in growth rate of asset but rental income is not (this will be considered in lever B)</t>
  </si>
  <si>
    <t>Goal Number</t>
  </si>
  <si>
    <t>Type of lever</t>
  </si>
  <si>
    <t>Independent</t>
  </si>
  <si>
    <t>Net income impact</t>
  </si>
  <si>
    <t>N</t>
  </si>
  <si>
    <t>Capital gains impact</t>
  </si>
  <si>
    <t>Y</t>
  </si>
  <si>
    <t>Mortgage details</t>
  </si>
  <si>
    <t>Year of purchase</t>
  </si>
  <si>
    <t>Amount Needed</t>
  </si>
  <si>
    <t>GBP</t>
  </si>
  <si>
    <t>Length of mortgage</t>
  </si>
  <si>
    <t>Down deposit</t>
  </si>
  <si>
    <t>Long-term annual mortgage interest rate (GBP)</t>
  </si>
  <si>
    <t>5.34%</t>
  </si>
  <si>
    <t>Source:</t>
  </si>
  <si>
    <t>https://www.nerdwallet.com/uk/mortgages/mortgage-rates/</t>
  </si>
  <si>
    <t>Long-term monthly mortgage interest rate (GBP)</t>
  </si>
  <si>
    <t>Loan amount</t>
  </si>
  <si>
    <t>Monthly interest repayment</t>
  </si>
  <si>
    <t>Annual interest repayment</t>
  </si>
  <si>
    <t>Annual property value increase in London</t>
  </si>
  <si>
    <t>https://www.nerdwallet.com/uk/mortgages/house-prices/</t>
  </si>
  <si>
    <t>Net income impact by year</t>
  </si>
  <si>
    <t>Baseline (June 2025)</t>
  </si>
  <si>
    <t>Mortgage payments</t>
  </si>
  <si>
    <t>2. London property annual net income impact</t>
  </si>
  <si>
    <t>Cumulative net wealth impact</t>
  </si>
  <si>
    <t>Loan value (inc down deposit)</t>
  </si>
  <si>
    <t>Gross apartment value</t>
  </si>
  <si>
    <t>2. London property annual net wealth impact (inclusive of the one-time payment from sister)</t>
  </si>
  <si>
    <t>Delta from 0. Do Nothing</t>
  </si>
  <si>
    <t>abs</t>
  </si>
  <si>
    <t>1 year (2026)</t>
  </si>
  <si>
    <t>5 years (2030)</t>
  </si>
  <si>
    <t>10 years (2035)</t>
  </si>
  <si>
    <t>20 years (2045)</t>
  </si>
  <si>
    <t>Meet Financial Goal: Purchasing NE London Property</t>
  </si>
  <si>
    <t>Family provides money for downpayment</t>
  </si>
  <si>
    <t>Interest rate remains constant, payments are standardized (no large one-off payments included in the calculation), assuming no cap in net income reductions from debt payments</t>
  </si>
  <si>
    <t>Net Worth Impact</t>
  </si>
  <si>
    <t>Down payment</t>
  </si>
  <si>
    <t>Outstanding Mortgage Value</t>
  </si>
  <si>
    <t>Timeline (years)</t>
  </si>
  <si>
    <t>25</t>
  </si>
  <si>
    <t>Long-term annual interest rate (GBP)</t>
  </si>
  <si>
    <t>Long-term monthly interest rate (GBP) calculated</t>
  </si>
  <si>
    <t>Annual Payments</t>
  </si>
  <si>
    <t>Monthly Payments</t>
  </si>
  <si>
    <t>Asset Appreciation</t>
  </si>
  <si>
    <t>50% Property Value</t>
  </si>
  <si>
    <t>Debt value (before payment)</t>
  </si>
  <si>
    <t>Annual payments</t>
  </si>
  <si>
    <t>Payment towards principal</t>
  </si>
  <si>
    <t>Payment towards interest</t>
  </si>
  <si>
    <t>Home Renovations</t>
  </si>
  <si>
    <t>Net wealth impact by year</t>
  </si>
  <si>
    <t>Overall net wealth impact</t>
  </si>
  <si>
    <t>£ increase</t>
  </si>
  <si>
    <t>Meet Financial Goal: Short Term Expenses</t>
  </si>
  <si>
    <t>Debt details</t>
  </si>
  <si>
    <t xml:space="preserve">Total Paid </t>
  </si>
  <si>
    <t xml:space="preserve">Total Interest Paid </t>
  </si>
  <si>
    <t>Short Term Living Expenses</t>
  </si>
  <si>
    <t>Holidays</t>
  </si>
  <si>
    <t>Net Income impact by year</t>
  </si>
  <si>
    <t>Net wealth impact (cumulative) by year</t>
  </si>
  <si>
    <t>Meet Financial Goal: Comfortable Retirement</t>
  </si>
  <si>
    <t>Interest Rate in Retirement account</t>
  </si>
  <si>
    <t>Year of Retirement</t>
  </si>
  <si>
    <t>Expected Last Year of Funds</t>
  </si>
  <si>
    <t>Amount Needed by Retirement</t>
  </si>
  <si>
    <t>Monthly Contributions needed</t>
  </si>
  <si>
    <t>Contributions</t>
  </si>
  <si>
    <t>Withdrawals</t>
  </si>
  <si>
    <t>Retirement Account Value</t>
  </si>
  <si>
    <t>A</t>
  </si>
  <si>
    <t>Increasing Salary</t>
  </si>
  <si>
    <t>Assume lever applies to total income</t>
  </si>
  <si>
    <t>Assume all salary goes into 0% interest current account</t>
  </si>
  <si>
    <t>Independent (but can later be allocated to savings/ investments)</t>
  </si>
  <si>
    <t>Salary growth rate</t>
  </si>
  <si>
    <t>Time period</t>
  </si>
  <si>
    <t>Description</t>
  </si>
  <si>
    <t>assumed salary growth</t>
  </si>
  <si>
    <t>Reduce salary to zero, given retirement is expected</t>
  </si>
  <si>
    <t>A. Salary increase annual impact</t>
  </si>
  <si>
    <t>Savings cash accumulation</t>
  </si>
  <si>
    <t>Net wealth impact</t>
  </si>
  <si>
    <t>B</t>
  </si>
  <si>
    <t>Side hustles and additional income streams</t>
  </si>
  <si>
    <t>No side hustles or additioanl income streams assumed</t>
  </si>
  <si>
    <t>side hustle 1</t>
  </si>
  <si>
    <t>side hustle 2</t>
  </si>
  <si>
    <t>B. Side hustle annual impact</t>
  </si>
  <si>
    <t>C</t>
  </si>
  <si>
    <t>Reducing Fixed Expenses</t>
  </si>
  <si>
    <t>Currently all expense improvement is applied to income and 0% savings</t>
  </si>
  <si>
    <t>assumed that alpha 2 buys the home according to their financial goals</t>
  </si>
  <si>
    <t>Expense type</t>
  </si>
  <si>
    <t>Expense category reduction</t>
  </si>
  <si>
    <t>Time applied</t>
  </si>
  <si>
    <t>Non-rent expenses</t>
  </si>
  <si>
    <t>2026 onwards</t>
  </si>
  <si>
    <t>Other expenses</t>
  </si>
  <si>
    <t>C. Reducing fixed expenses annual impact</t>
  </si>
  <si>
    <t>D</t>
  </si>
  <si>
    <t>Higher-yield savings</t>
  </si>
  <si>
    <t>Move all current savings and all future savings into high-yield savings accounts</t>
  </si>
  <si>
    <t>This is inclusive of the baseline net income, and assumed that baseline year's net income has already been accounted for in the baseline number</t>
  </si>
  <si>
    <t>Dependent (on amount being saved)</t>
  </si>
  <si>
    <t>Mutual exclusions</t>
  </si>
  <si>
    <t>Investments</t>
  </si>
  <si>
    <t>Interest Rate</t>
  </si>
  <si>
    <t>input page has source info</t>
  </si>
  <si>
    <t>Total value of cash savings</t>
  </si>
  <si>
    <t>D. Higher-yield savings net wealth impact</t>
  </si>
  <si>
    <t>E</t>
  </si>
  <si>
    <t>Private pension contributions</t>
  </si>
  <si>
    <t>Maximum amount that can be sacrificed is 60k GBP a year or 100% of salary minus UK minimum wage, whichever is lower, and your salary needs to be higher than minimum wage after the sacrifice</t>
  </si>
  <si>
    <t>Maximum minus minimum wage is used for modelling</t>
  </si>
  <si>
    <t>Government adds 20% tax relief to your contribution</t>
  </si>
  <si>
    <t>Employer might also match or enhance your contribution but this is not considered here</t>
  </si>
  <si>
    <t>In future, UK retirement age will be 68, and pension savings can be accessed from the age of 58</t>
  </si>
  <si>
    <t>Using the increased salary</t>
  </si>
  <si>
    <t>With private pension, 25% can be taken out at retirement as tax-free lump sum, and 75% as income</t>
  </si>
  <si>
    <t>Dependent (on salary and amount being saved)</t>
  </si>
  <si>
    <t>Value</t>
  </si>
  <si>
    <t>You aren't allowed to reduce your salary below this amount</t>
  </si>
  <si>
    <t>Age at which pension begins to be withdrawn</t>
  </si>
  <si>
    <t>Annual gross withdrawal amount</t>
  </si>
  <si>
    <t>Arbitrarily selected</t>
  </si>
  <si>
    <t>Average tax rate</t>
  </si>
  <si>
    <t>Assuming same PAYE tax bands as today</t>
  </si>
  <si>
    <t>Annual net withdrawal amount</t>
  </si>
  <si>
    <t>Post-tax</t>
  </si>
  <si>
    <t>Lump sum allowance</t>
  </si>
  <si>
    <t>https://www.moneyhelper.org.uk/en/pensions-and-retirement/tax-and-pensions/lump-sum-allowances-for-pensions</t>
  </si>
  <si>
    <t>Current Monthly Contribution</t>
  </si>
  <si>
    <t>Savings into pension</t>
  </si>
  <si>
    <t>20% HMRC tax relief</t>
  </si>
  <si>
    <t>Pension value</t>
  </si>
  <si>
    <t>Pension withdrawals (pre-tax)</t>
  </si>
  <si>
    <t>F. Private pension income impact (post-tax)</t>
  </si>
  <si>
    <t>Follows UK tax band</t>
  </si>
  <si>
    <t>F. Private pension net wealth impact</t>
  </si>
  <si>
    <t>F.i.</t>
  </si>
  <si>
    <t>Starting to invest/ investing more - lump sum</t>
  </si>
  <si>
    <t>Dividends are accumulating, and taxes are not considered at this stage</t>
  </si>
  <si>
    <t>Minimum is not limited by need for an emergency savings fund</t>
  </si>
  <si>
    <t>iShares MSCI World ETF used as a benchmark asset (URTH), and payment structure is matched accordingly</t>
  </si>
  <si>
    <t>Dependent (on lump sum amount to put into investments)</t>
  </si>
  <si>
    <t>lump sum added into investments</t>
  </si>
  <si>
    <t>Assumption based on low risk appetite from psychographic questionnaire
Dividends are accumulating, and taxes are not considered at this stage
iShares MSCI World ETF used as a benchmark asset (URTH) for liquid investments</t>
  </si>
  <si>
    <t>Lump sum contributions</t>
  </si>
  <si>
    <t>Dividend payments</t>
  </si>
  <si>
    <t>F.i. Investing lump sum net income impact</t>
  </si>
  <si>
    <t>New investment value</t>
  </si>
  <si>
    <t>Total liquid investments value</t>
  </si>
  <si>
    <t>F.i. Investing lump sum net wealth impact</t>
  </si>
  <si>
    <t>F.ii.</t>
  </si>
  <si>
    <t>Starting to invest/ investing more - ongoing</t>
  </si>
  <si>
    <t>Continuous contributions are made on an annual basis at the same % rate</t>
  </si>
  <si>
    <t>Dividends are accumulating and taxes are not considered at this stage</t>
  </si>
  <si>
    <t>iShares MSCI World ETF used as a benchmark asset (URTH)</t>
  </si>
  <si>
    <t>Dependent (on amount of regular income to put into investments)</t>
  </si>
  <si>
    <t>% total 2025 cash/ savings moved into investments</t>
  </si>
  <si>
    <t>Assumption based on low risk appetite from psychographic questionnaire
Dividends are accumulating, and taxes are not considered at this stage
iShares MSCI World ETF used as a benchmark asset (URTH)</t>
  </si>
  <si>
    <t>ISA contribution limit</t>
  </si>
  <si>
    <t>percentage split to additional account</t>
  </si>
  <si>
    <t>Presumed that ISA account will increase by 100% - this amount times the ISA contributions</t>
  </si>
  <si>
    <t>F.ii. Investing ongoing net income impact</t>
  </si>
  <si>
    <t>ISA Value</t>
  </si>
  <si>
    <t>Amount saved to additional account</t>
  </si>
  <si>
    <t>total investments assets value</t>
  </si>
  <si>
    <t>F.ii. Investing ongoing net wealth impact</t>
  </si>
  <si>
    <t>G.i.</t>
  </si>
  <si>
    <t>Adjusting Investment portfolio - lump sum</t>
  </si>
  <si>
    <t>Lump sum asset class switch is made this year as a one-off as a percentage of the existing portfolio</t>
  </si>
  <si>
    <t>iShares MSCI World ETF used as the baseline asset (URTH) example and  S&amp;P 500 tracking ETF (VOO) used as for the updated investment example</t>
  </si>
  <si>
    <t xml:space="preserve">assuming a full asset class switch </t>
  </si>
  <si>
    <t>Dependent (on lump sum to put into investments)</t>
  </si>
  <si>
    <t>% holdings switched to new investment</t>
  </si>
  <si>
    <t>Reference new investment interest rate</t>
  </si>
  <si>
    <t>S&amp;P 500 tracking ETF (VOO) used as for the updated investment</t>
  </si>
  <si>
    <t>holdings switched to new investment</t>
  </si>
  <si>
    <t>Baseline portfolio dividend payments (MSCI World ETF)</t>
  </si>
  <si>
    <t>Dividend payments reduced share of original investments
(MSCI World ETF)</t>
  </si>
  <si>
    <t>Dividend payments new investments (SP500)</t>
  </si>
  <si>
    <t>H.i. Asset class switch net income impact</t>
  </si>
  <si>
    <t>Baseline value original portfolio (except non-other assets)</t>
  </si>
  <si>
    <t>New value reduced share of original investments
(MSCI World ETF)</t>
  </si>
  <si>
    <t>Value new liquid assets (SP500)</t>
  </si>
  <si>
    <t>New total liquid investment assets value</t>
  </si>
  <si>
    <t>G.i. Asset class switch net wealth impact</t>
  </si>
  <si>
    <t>G.ii.</t>
  </si>
  <si>
    <t>Adjusting Investment portfolio - continuous</t>
  </si>
  <si>
    <t xml:space="preserve">Annual % current MSCI holdings switched to SP500 </t>
  </si>
  <si>
    <t xml:space="preserve">Annual Amount current MSCI holdings switched to SP500 </t>
  </si>
  <si>
    <t>iShares MSCI World ETF used as the baseline asset (URTH) example and  S&amp;P 500 tracking ETF (VOO) used as for the updated investment</t>
  </si>
  <si>
    <t>Baseline Dividend payments</t>
  </si>
  <si>
    <t>Dividend payments remaining from original investments</t>
  </si>
  <si>
    <t>Dividend payments from new investments</t>
  </si>
  <si>
    <t>G.ii. Asset class switch net income impact</t>
  </si>
  <si>
    <t>New value reduced share of non-other original investments
(MSCI World ETF)</t>
  </si>
  <si>
    <t>H.ii. Asset class switch net wealth impact</t>
  </si>
  <si>
    <t>H</t>
  </si>
  <si>
    <t>Emergency/Child's Savings</t>
  </si>
  <si>
    <t>Move all funds into high-yield savings accounts</t>
  </si>
  <si>
    <t>This amount is added monthly</t>
  </si>
  <si>
    <t>Contributions net income impact</t>
  </si>
  <si>
    <t>Higher-yield savings net wealth impact</t>
  </si>
  <si>
    <t>I</t>
  </si>
  <si>
    <t>Refinancing High-Interest Debt</t>
  </si>
  <si>
    <t>User already plans to pay off debt quickly so refinancing would not be beneficial</t>
  </si>
  <si>
    <t>J</t>
  </si>
  <si>
    <t>Consolidating or Paying Off Debt Faster</t>
  </si>
  <si>
    <t>Seems like a low value lever in this case</t>
  </si>
  <si>
    <t>Net income trajectory</t>
  </si>
  <si>
    <t>Do-Nothing (Baseline)</t>
  </si>
  <si>
    <t>Meeting goals cash flow</t>
  </si>
  <si>
    <t>A. Increasing Salary</t>
  </si>
  <si>
    <t>B. Side hustles and additional income streams</t>
  </si>
  <si>
    <t>C. Reducing Fixed Expenses</t>
  </si>
  <si>
    <t>Independent levers cash flow</t>
  </si>
  <si>
    <t>Cash flow after independent levers</t>
  </si>
  <si>
    <t>D. Investing in higher-yield savings</t>
  </si>
  <si>
    <t>E. Private pension contributions</t>
  </si>
  <si>
    <t>F.i. Starting to invest/ investing more - lump sum</t>
  </si>
  <si>
    <t>F.ii. Starting to invest/ investing more - ongoing</t>
  </si>
  <si>
    <t>G.i. Adjust investments - lump</t>
  </si>
  <si>
    <t>G.ii. Adjust investments - continuous</t>
  </si>
  <si>
    <t>H. Emergency Fund/Child Savings</t>
  </si>
  <si>
    <t>F &amp; G levers combined</t>
  </si>
  <si>
    <t>Cash flow after dependent levers</t>
  </si>
  <si>
    <t>I. Refinancing High-Interest Debt</t>
  </si>
  <si>
    <t>J. Consolidating or Paying Off Debt Faster</t>
  </si>
  <si>
    <t>Net wealth trajectory</t>
  </si>
  <si>
    <t>0. Do-Nothing (Baseline)</t>
  </si>
  <si>
    <t>Meeting goals net wealth</t>
  </si>
  <si>
    <t>Independent levers net wealth</t>
  </si>
  <si>
    <t>D. Higher-yield savings</t>
  </si>
  <si>
    <t>F.i. Investing - lump sum</t>
  </si>
  <si>
    <t>F.ii. Investing - ongoing</t>
  </si>
  <si>
    <t>Net income deltas/ impact from Do-Nothing</t>
  </si>
  <si>
    <t>1 Year</t>
  </si>
  <si>
    <t>5 Year</t>
  </si>
  <si>
    <t>10 Year</t>
  </si>
  <si>
    <t>20 Year</t>
  </si>
  <si>
    <t>Meeting goals cash flow impact</t>
  </si>
  <si>
    <t>Independent levers cash flow impact</t>
  </si>
  <si>
    <t>Net wealth deltas/impact from Do-Nothing</t>
  </si>
  <si>
    <t>Meeting goals net wealth impact</t>
  </si>
  <si>
    <t>Independent levers net wealth impact</t>
  </si>
  <si>
    <t>Net Wealth Projections financial goals</t>
  </si>
  <si>
    <t>"Do-nothing"</t>
  </si>
  <si>
    <t>Financial Goals</t>
  </si>
  <si>
    <t>Lever A-C  Net Income Increase</t>
  </si>
  <si>
    <t>Net Wealth Projections Levers A-C</t>
  </si>
  <si>
    <t>Levers A &amp; C</t>
  </si>
  <si>
    <t>Lever D - H Prioritized by Net Income Impact</t>
  </si>
  <si>
    <t xml:space="preserve">£ 5 years 
(2030) </t>
  </si>
  <si>
    <t>£ 20 years 
(2045)</t>
  </si>
  <si>
    <t>G.i. Adjust investments - one-time</t>
  </si>
  <si>
    <t>G.ii. Adjust investments - ongoing</t>
  </si>
  <si>
    <t>F.i. Starting to invest/ investing more - one-time</t>
  </si>
  <si>
    <t>H. Emergency fund/child savings</t>
  </si>
  <si>
    <t>Lever D - H Prioritized by Net Wealth Impact</t>
  </si>
  <si>
    <t>£ 5 years
(2030)</t>
  </si>
  <si>
    <t>Do you have any checking or savings accounts? None have currently been provided</t>
  </si>
  <si>
    <t>When you say sister is buying you out of home, does this entail she is taking over the mortgage as well?</t>
  </si>
  <si>
    <t>What share of the downpayment will be coming out of your investments?</t>
  </si>
  <si>
    <t>Are mortgage payments going to be split 50/50 with your sister?</t>
  </si>
  <si>
    <t>You mentioned that you are paying 817 for mortgage. Is this in addition to the mortgage monthly payments of 2220.87?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</si>
</sst>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/&quot;m&quot;/&quot;yyyy"/>
    <numFmt numFmtId="165" formatCode="[$£]#,##0.00"/>
    <numFmt numFmtId="166" formatCode="[$£]#,##0"/>
    <numFmt numFmtId="167" formatCode="mmmm yyyy"/>
    <numFmt numFmtId="168" formatCode="&quot;$&quot;#,##0.00"/>
  </numFmts>
  <fonts count="59">
    <font>
      <sz val="11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Bricolage Grotesque"/>
    </font>
    <font>
      <sz val="11.0"/>
      <color theme="1"/>
      <name val="Arial"/>
    </font>
    <font>
      <b/>
      <sz val="10.0"/>
      <color theme="1"/>
      <name val="Bricolage Grotesque"/>
    </font>
    <font>
      <sz val="10.0"/>
      <color theme="1"/>
      <name val="Source Sans 3"/>
    </font>
    <font>
      <b/>
      <sz val="11.0"/>
      <color theme="1"/>
      <name val="Bricolage Grotesque"/>
    </font>
    <font>
      <b/>
      <color theme="0"/>
      <name val="Bricolage Grotesque"/>
    </font>
    <font>
      <b/>
      <color rgb="FFFFFFFF"/>
      <name val="Bricolage Grotesque"/>
    </font>
    <font/>
    <font>
      <color theme="1"/>
      <name val="Bricolage Grotesque"/>
    </font>
    <font>
      <color theme="1"/>
      <name val="Source Sans 3"/>
    </font>
    <font>
      <b/>
      <color theme="1"/>
      <name val="Bricolage Grotesque"/>
    </font>
    <font>
      <b/>
      <color theme="1"/>
      <name val="Source Sans 3"/>
    </font>
    <font>
      <b/>
      <sz val="13.0"/>
      <color theme="1"/>
      <name val="Bricolage Grotesque"/>
    </font>
    <font>
      <b/>
      <sz val="11.0"/>
      <color rgb="FFFFFFFF"/>
      <name val="Bricolage Grotesque"/>
    </font>
    <font>
      <sz val="11.0"/>
      <color theme="1"/>
      <name val="Source Sans 3"/>
    </font>
    <font>
      <b/>
      <sz val="15.0"/>
      <color theme="1"/>
      <name val="Bricolage Grotesque"/>
    </font>
    <font>
      <sz val="15.0"/>
      <color theme="1"/>
      <name val="Bricolage Grotesque"/>
    </font>
    <font>
      <u/>
      <sz val="11.0"/>
      <color rgb="FF0000FF"/>
      <name val="Source Sans 3"/>
    </font>
    <font>
      <sz val="12.0"/>
      <color theme="1"/>
      <name val="Source Sans 3"/>
    </font>
    <font>
      <b/>
      <sz val="11.0"/>
      <color theme="1"/>
      <name val="Source Sans 3"/>
    </font>
    <font>
      <u/>
      <color rgb="FF0000FF"/>
      <name val="Source Sans 3"/>
    </font>
    <font>
      <u/>
      <color rgb="FF0000FF"/>
      <name val="Source Sans 3"/>
    </font>
    <font>
      <u/>
      <color rgb="FF0000FF"/>
      <name val="Source Sans 3"/>
    </font>
    <font>
      <u/>
      <color rgb="FF0000FF"/>
      <name val="Source Sans 3"/>
    </font>
    <font>
      <u/>
      <color rgb="FF0000FF"/>
      <name val="Source Sans 3"/>
    </font>
    <font>
      <u/>
      <color rgb="FF0000FF"/>
      <name val="Source Sans 3"/>
    </font>
    <font>
      <u/>
      <color rgb="FF0000FF"/>
      <name val="Source Sans 3"/>
    </font>
    <font>
      <b/>
      <sz val="15.0"/>
      <color theme="1"/>
      <name val="Arial"/>
      <scheme val="minor"/>
    </font>
    <font>
      <color theme="1"/>
      <name val="Arial"/>
    </font>
    <font>
      <b/>
      <sz val="14.0"/>
      <color theme="1"/>
      <name val="Source Sans 3"/>
    </font>
    <font>
      <b/>
      <color rgb="FF000000"/>
      <name val="Source Sans 3"/>
    </font>
    <font>
      <b/>
      <sz val="11.0"/>
      <color theme="1"/>
      <name val="Roboto"/>
    </font>
    <font>
      <b/>
      <i/>
      <color theme="1"/>
      <name val="Source Sans 3"/>
    </font>
    <font>
      <b/>
      <color theme="0"/>
      <name val="Source Sans 3"/>
    </font>
    <font>
      <b/>
      <sz val="11.0"/>
      <color theme="0"/>
      <name val="Bricolage Grotesque"/>
    </font>
    <font>
      <b/>
      <sz val="13.0"/>
      <color theme="0"/>
      <name val="Bricolage Grotesque"/>
    </font>
    <font>
      <sz val="11.0"/>
      <color theme="1"/>
      <name val="Calibri"/>
    </font>
    <font>
      <b/>
      <i/>
      <sz val="11.0"/>
      <color theme="1"/>
      <name val="Source Sans 3"/>
    </font>
    <font>
      <i/>
      <sz val="11.0"/>
      <color theme="1"/>
      <name val="Source Sans 3"/>
    </font>
    <font>
      <u/>
      <sz val="11.0"/>
      <color rgb="FF0000FF"/>
      <name val="Source Sans 3"/>
    </font>
    <font>
      <b/>
      <sz val="11.0"/>
      <color rgb="FFFFFFFF"/>
      <name val="Arial"/>
    </font>
    <font>
      <u/>
      <sz val="11.0"/>
      <color rgb="FF0000FF"/>
      <name val="Calibri"/>
    </font>
    <font>
      <b/>
      <i/>
      <sz val="11.0"/>
      <color theme="1"/>
      <name val="Bricolage Grotesque"/>
    </font>
    <font>
      <i/>
      <sz val="11.0"/>
      <color theme="1"/>
      <name val="Calibri"/>
    </font>
    <font>
      <u/>
      <sz val="11.0"/>
      <color rgb="FF0000FF"/>
      <name val="Source Sans 3"/>
    </font>
    <font>
      <b/>
      <sz val="14.0"/>
      <color theme="1"/>
      <name val="Bricolage Grotesque"/>
    </font>
    <font>
      <b/>
      <sz val="10.0"/>
      <color rgb="FFFFFFFF"/>
      <name val="Bricolage Grotesque"/>
    </font>
    <font>
      <b/>
      <sz val="13.0"/>
      <color theme="1"/>
      <name val="Arial"/>
    </font>
    <font>
      <b/>
      <color theme="1"/>
      <name val="Arial"/>
    </font>
    <font>
      <b/>
      <color rgb="FFFFFFFF"/>
      <name val="Roboto"/>
    </font>
    <font>
      <b/>
      <sz val="8.0"/>
      <color rgb="FF000000"/>
      <name val="Bricolage Grotesque"/>
    </font>
    <font>
      <sz val="8.0"/>
      <color theme="1"/>
      <name val="Source Sans 3"/>
    </font>
    <font>
      <b/>
      <sz val="8.0"/>
      <color theme="1"/>
      <name val="Source Sans 3"/>
    </font>
    <font>
      <b/>
      <sz val="8.0"/>
      <color theme="1"/>
      <name val="Bricolage Grotesque"/>
    </font>
  </fonts>
  <fills count="23">
    <fill>
      <patternFill patternType="none"/>
    </fill>
    <fill>
      <patternFill patternType="lightGray"/>
    </fill>
    <fill>
      <patternFill patternType="solid">
        <fgColor rgb="FFFF8C00"/>
        <bgColor rgb="FFFF8C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FDF5E6"/>
        <bgColor rgb="FFFDF5E6"/>
      </patternFill>
    </fill>
    <fill>
      <patternFill patternType="solid">
        <fgColor rgb="FFF3F3F3"/>
        <bgColor rgb="FFF3F3F3"/>
      </patternFill>
    </fill>
    <fill>
      <patternFill patternType="solid">
        <fgColor rgb="FFF8FDFB"/>
        <bgColor rgb="FFF8FDFB"/>
      </patternFill>
    </fill>
    <fill>
      <patternFill patternType="solid">
        <fgColor rgb="FFC9D8E6"/>
        <bgColor rgb="FFC9D8E6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B45F06"/>
        <bgColor rgb="FFB45F06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</fills>
  <borders count="50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999999"/>
      </top>
    </border>
    <border>
      <left style="thin">
        <color rgb="FF999999"/>
      </left>
      <bottom style="thin">
        <color rgb="FF999999"/>
      </bottom>
    </border>
    <border>
      <left style="thin">
        <color rgb="FFB7B7B7"/>
      </left>
      <top style="thin">
        <color rgb="FFB7B7B7"/>
      </top>
    </border>
    <border>
      <left style="thin">
        <color rgb="FF999999"/>
      </left>
      <right style="thin">
        <color rgb="FF999999"/>
      </right>
      <top style="thin">
        <color rgb="FFB7B7B7"/>
      </top>
      <bottom style="thin">
        <color rgb="FF999999"/>
      </bottom>
    </border>
    <border>
      <left style="thin">
        <color rgb="FF999999"/>
      </left>
      <right style="thin">
        <color rgb="FFB7B7B7"/>
      </right>
      <top style="thin">
        <color rgb="FFB7B7B7"/>
      </top>
      <bottom style="thin">
        <color rgb="FF999999"/>
      </bottom>
    </border>
    <border>
      <left style="thin">
        <color rgb="FFB7B7B7"/>
      </left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B7B7B7"/>
      </right>
      <top style="thin">
        <color rgb="FF999999"/>
      </top>
    </border>
    <border>
      <left style="thin">
        <color rgb="FF999999"/>
      </left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B7B7B7"/>
      </left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B7B7B7"/>
      </bottom>
    </border>
    <border>
      <left style="thin">
        <color rgb="FF999999"/>
      </left>
      <right style="thin">
        <color rgb="FFB7B7B7"/>
      </right>
      <top style="thin">
        <color rgb="FF999999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right style="thin">
        <color rgb="FFB7B7B7"/>
      </right>
      <top style="thin">
        <color rgb="FFB7B7B7"/>
      </top>
    </border>
    <border>
      <bottom style="thin">
        <color rgb="FF999999"/>
      </bottom>
    </border>
    <border>
      <right style="thin">
        <color rgb="FFB7B7B7"/>
      </right>
      <bottom style="thin">
        <color rgb="FFB7B7B7"/>
      </bottom>
    </border>
    <border>
      <left style="thin">
        <color rgb="FF999999"/>
      </left>
      <right style="thin">
        <color rgb="FF999999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BF6900"/>
      </left>
      <right style="thin">
        <color rgb="FFCCCCCC"/>
      </right>
      <top style="thin">
        <color rgb="FFBF69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BF6900"/>
      </top>
      <bottom style="thin">
        <color rgb="FFCCCCCC"/>
      </bottom>
    </border>
    <border>
      <left style="thin">
        <color rgb="FFCCCCCC"/>
      </left>
      <right style="thin">
        <color rgb="FFBF6900"/>
      </right>
      <top style="thin">
        <color rgb="FFBF6900"/>
      </top>
      <bottom style="thin">
        <color rgb="FFCCCCCC"/>
      </bottom>
    </border>
    <border>
      <left style="thin">
        <color rgb="FFBF69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BF6900"/>
      </right>
      <top style="thin">
        <color rgb="FFCCCCCC"/>
      </top>
      <bottom style="thin">
        <color rgb="FFCCCCCC"/>
      </bottom>
    </border>
    <border>
      <left style="thin">
        <color rgb="FFBF6900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BF6900"/>
      </right>
      <top style="thin">
        <color rgb="FFCCCCCC"/>
      </top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49" xfId="0" applyAlignment="1" applyFont="1" applyNumberFormat="1">
      <alignment readingOrder="0"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0" fontId="6" numFmtId="1" xfId="0" applyAlignment="1" applyFont="1" applyNumberFormat="1">
      <alignment shrinkToFit="0" vertical="bottom" wrapText="0"/>
    </xf>
    <xf borderId="1" fillId="0" fontId="7" numFmtId="49" xfId="0" applyAlignment="1" applyBorder="1" applyFont="1" applyNumberFormat="1">
      <alignment readingOrder="0" shrinkToFit="0" vertical="bottom" wrapText="0"/>
    </xf>
    <xf borderId="1" fillId="0" fontId="8" numFmtId="49" xfId="0" applyAlignment="1" applyBorder="1" applyFont="1" applyNumberFormat="1">
      <alignment readingOrder="0" shrinkToFit="0" vertical="bottom" wrapText="0"/>
    </xf>
    <xf borderId="0" fillId="0" fontId="6" numFmtId="49" xfId="0" applyAlignment="1" applyFont="1" applyNumberFormat="1">
      <alignment readingOrder="0" shrinkToFit="0" vertical="bottom" wrapText="0"/>
    </xf>
    <xf borderId="0" fillId="0" fontId="9" numFmtId="49" xfId="0" applyAlignment="1" applyFont="1" applyNumberFormat="1">
      <alignment readingOrder="0" shrinkToFit="0" vertical="bottom" wrapText="0"/>
    </xf>
    <xf borderId="1" fillId="2" fontId="10" numFmtId="0" xfId="0" applyAlignment="1" applyBorder="1" applyFill="1" applyFont="1">
      <alignment readingOrder="0"/>
    </xf>
    <xf borderId="1" fillId="2" fontId="11" numFmtId="0" xfId="0" applyAlignment="1" applyBorder="1" applyFont="1">
      <alignment readingOrder="0"/>
    </xf>
    <xf borderId="2" fillId="2" fontId="11" numFmtId="0" xfId="0" applyAlignment="1" applyBorder="1" applyFont="1">
      <alignment horizontal="center" readingOrder="0" vertical="bottom"/>
    </xf>
    <xf borderId="3" fillId="0" fontId="12" numFmtId="0" xfId="0" applyBorder="1" applyFont="1"/>
    <xf borderId="1" fillId="0" fontId="4" numFmtId="0" xfId="0" applyAlignment="1" applyBorder="1" applyFont="1">
      <alignment readingOrder="0"/>
    </xf>
    <xf borderId="1" fillId="3" fontId="6" numFmtId="164" xfId="0" applyAlignment="1" applyBorder="1" applyFill="1" applyFont="1" applyNumberFormat="1">
      <alignment readingOrder="0" shrinkToFit="0" vertical="bottom" wrapText="0"/>
    </xf>
    <xf borderId="1" fillId="3" fontId="6" numFmtId="165" xfId="0" applyAlignment="1" applyBorder="1" applyFont="1" applyNumberFormat="1">
      <alignment readingOrder="0" shrinkToFit="0" vertical="bottom" wrapText="0"/>
    </xf>
    <xf borderId="4" fillId="0" fontId="6" numFmtId="1" xfId="0" applyAlignment="1" applyBorder="1" applyFont="1" applyNumberFormat="1">
      <alignment readingOrder="0" shrinkToFit="0" vertical="bottom" wrapText="0"/>
    </xf>
    <xf borderId="1" fillId="3" fontId="6" numFmtId="1" xfId="0" applyAlignment="1" applyBorder="1" applyFont="1" applyNumberFormat="1">
      <alignment readingOrder="0" shrinkToFit="0" vertical="bottom" wrapText="0"/>
    </xf>
    <xf borderId="5" fillId="0" fontId="6" numFmtId="49" xfId="0" applyAlignment="1" applyBorder="1" applyFont="1" applyNumberFormat="1">
      <alignment readingOrder="0" shrinkToFit="0" vertical="bottom" wrapText="0"/>
    </xf>
    <xf borderId="1" fillId="0" fontId="6" numFmtId="1" xfId="0" applyAlignment="1" applyBorder="1" applyFont="1" applyNumberFormat="1">
      <alignment readingOrder="0" shrinkToFit="0" vertical="bottom" wrapText="0"/>
    </xf>
    <xf borderId="6" fillId="0" fontId="6" numFmtId="49" xfId="0" applyAlignment="1" applyBorder="1" applyFont="1" applyNumberFormat="1">
      <alignment readingOrder="0" shrinkToFit="0" vertical="bottom" wrapText="0"/>
    </xf>
    <xf borderId="0" fillId="0" fontId="13" numFmtId="0" xfId="0" applyFont="1"/>
    <xf borderId="0" fillId="0" fontId="5" numFmtId="0" xfId="0" applyAlignment="1" applyFont="1">
      <alignment readingOrder="0"/>
    </xf>
    <xf borderId="1" fillId="2" fontId="11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readingOrder="0"/>
    </xf>
    <xf borderId="1" fillId="3" fontId="14" numFmtId="165" xfId="0" applyAlignment="1" applyBorder="1" applyFont="1" applyNumberFormat="1">
      <alignment readingOrder="0"/>
    </xf>
    <xf borderId="1" fillId="3" fontId="14" numFmtId="165" xfId="0" applyBorder="1" applyFont="1" applyNumberFormat="1"/>
    <xf borderId="1" fillId="4" fontId="14" numFmtId="165" xfId="0" applyBorder="1" applyFill="1" applyFont="1" applyNumberFormat="1"/>
    <xf borderId="1" fillId="5" fontId="14" numFmtId="0" xfId="0" applyAlignment="1" applyBorder="1" applyFill="1" applyFont="1">
      <alignment readingOrder="0"/>
    </xf>
    <xf borderId="1" fillId="6" fontId="15" numFmtId="165" xfId="0" applyBorder="1" applyFill="1" applyFont="1" applyNumberFormat="1"/>
    <xf borderId="1" fillId="7" fontId="14" numFmtId="0" xfId="0" applyAlignment="1" applyBorder="1" applyFill="1" applyFont="1">
      <alignment readingOrder="0"/>
    </xf>
    <xf borderId="1" fillId="7" fontId="14" numFmtId="165" xfId="0" applyAlignment="1" applyBorder="1" applyFont="1" applyNumberFormat="1">
      <alignment readingOrder="0"/>
    </xf>
    <xf borderId="1" fillId="3" fontId="14" numFmtId="10" xfId="0" applyAlignment="1" applyBorder="1" applyFont="1" applyNumberFormat="1">
      <alignment readingOrder="0"/>
    </xf>
    <xf borderId="1" fillId="3" fontId="14" numFmtId="9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1" fillId="0" fontId="13" numFmtId="0" xfId="0" applyBorder="1" applyFont="1"/>
    <xf borderId="1" fillId="3" fontId="14" numFmtId="0" xfId="0" applyAlignment="1" applyBorder="1" applyFont="1">
      <alignment readingOrder="0"/>
    </xf>
    <xf borderId="1" fillId="3" fontId="14" numFmtId="0" xfId="0" applyBorder="1" applyFont="1"/>
    <xf borderId="1" fillId="7" fontId="14" numFmtId="0" xfId="0" applyBorder="1" applyFont="1"/>
    <xf borderId="1" fillId="7" fontId="14" numFmtId="165" xfId="0" applyBorder="1" applyFont="1" applyNumberFormat="1"/>
    <xf borderId="1" fillId="6" fontId="16" numFmtId="0" xfId="0" applyAlignment="1" applyBorder="1" applyFont="1">
      <alignment readingOrder="0"/>
    </xf>
    <xf borderId="1" fillId="6" fontId="14" numFmtId="0" xfId="0" applyBorder="1" applyFont="1"/>
    <xf borderId="1" fillId="6" fontId="14" numFmtId="165" xfId="0" applyBorder="1" applyFont="1" applyNumberFormat="1"/>
    <xf borderId="1" fillId="6" fontId="14" numFmtId="10" xfId="0" applyBorder="1" applyFont="1" applyNumberFormat="1"/>
    <xf borderId="0" fillId="0" fontId="17" numFmtId="0" xfId="0" applyAlignment="1" applyFont="1">
      <alignment readingOrder="0"/>
    </xf>
    <xf borderId="1" fillId="3" fontId="4" numFmtId="0" xfId="0" applyBorder="1" applyFont="1"/>
    <xf borderId="1" fillId="0" fontId="15" numFmtId="0" xfId="0" applyBorder="1" applyFont="1"/>
    <xf borderId="1" fillId="0" fontId="14" numFmtId="165" xfId="0" applyAlignment="1" applyBorder="1" applyFont="1" applyNumberFormat="1">
      <alignment readingOrder="0"/>
    </xf>
    <xf borderId="1" fillId="7" fontId="14" numFmtId="164" xfId="0" applyAlignment="1" applyBorder="1" applyFont="1" applyNumberFormat="1">
      <alignment readingOrder="0"/>
    </xf>
    <xf borderId="1" fillId="3" fontId="14" numFmtId="0" xfId="0" applyBorder="1" applyFont="1"/>
    <xf borderId="1" fillId="0" fontId="15" numFmtId="0" xfId="0" applyAlignment="1" applyBorder="1" applyFont="1">
      <alignment shrinkToFit="0" wrapText="1"/>
    </xf>
    <xf borderId="1" fillId="6" fontId="14" numFmtId="0" xfId="0" applyAlignment="1" applyBorder="1" applyFont="1">
      <alignment readingOrder="0"/>
    </xf>
    <xf borderId="1" fillId="6" fontId="14" numFmtId="0" xfId="0" applyBorder="1" applyFont="1"/>
    <xf borderId="1" fillId="2" fontId="18" numFmtId="49" xfId="0" applyAlignment="1" applyBorder="1" applyFont="1" applyNumberFormat="1">
      <alignment readingOrder="0" shrinkToFit="0" vertical="bottom" wrapText="0"/>
    </xf>
    <xf borderId="1" fillId="0" fontId="19" numFmtId="49" xfId="0" applyAlignment="1" applyBorder="1" applyFont="1" applyNumberFormat="1">
      <alignment readingOrder="0" shrinkToFit="0" vertical="bottom" wrapText="1"/>
    </xf>
    <xf borderId="1" fillId="3" fontId="19" numFmtId="49" xfId="0" applyAlignment="1" applyBorder="1" applyFont="1" applyNumberFormat="1">
      <alignment vertical="bottom"/>
    </xf>
    <xf borderId="1" fillId="7" fontId="14" numFmtId="10" xfId="0" applyAlignment="1" applyBorder="1" applyFont="1" applyNumberFormat="1">
      <alignment readingOrder="0"/>
    </xf>
    <xf borderId="1" fillId="7" fontId="14" numFmtId="4" xfId="0" applyAlignment="1" applyBorder="1" applyFont="1" applyNumberFormat="1">
      <alignment readingOrder="0"/>
    </xf>
    <xf borderId="0" fillId="0" fontId="20" numFmtId="49" xfId="0" applyAlignment="1" applyFont="1" applyNumberFormat="1">
      <alignment readingOrder="0" shrinkToFit="0" vertical="bottom" wrapText="0"/>
    </xf>
    <xf borderId="1" fillId="3" fontId="19" numFmtId="165" xfId="0" applyAlignment="1" applyBorder="1" applyFont="1" applyNumberFormat="1">
      <alignment readingOrder="0" shrinkToFit="0" vertical="bottom" wrapText="0"/>
    </xf>
    <xf borderId="7" fillId="0" fontId="21" numFmtId="49" xfId="0" applyAlignment="1" applyBorder="1" applyFont="1" applyNumberFormat="1">
      <alignment readingOrder="0" shrinkToFit="0" vertical="bottom" wrapText="0"/>
    </xf>
    <xf borderId="8" fillId="0" fontId="4" numFmtId="0" xfId="0" applyBorder="1" applyFont="1"/>
    <xf borderId="9" fillId="0" fontId="4" numFmtId="0" xfId="0" applyBorder="1" applyFont="1"/>
    <xf borderId="1" fillId="3" fontId="19" numFmtId="10" xfId="0" applyAlignment="1" applyBorder="1" applyFont="1" applyNumberFormat="1">
      <alignment readingOrder="0" shrinkToFit="0" vertical="bottom" wrapText="0"/>
    </xf>
    <xf borderId="1" fillId="0" fontId="22" numFmtId="49" xfId="0" applyAlignment="1" applyBorder="1" applyFont="1" applyNumberFormat="1">
      <alignment readingOrder="0" shrinkToFit="0" vertical="bottom" wrapText="1"/>
    </xf>
    <xf borderId="10" fillId="0" fontId="21" numFmtId="49" xfId="0" applyAlignment="1" applyBorder="1" applyFont="1" applyNumberFormat="1">
      <alignment readingOrder="0" shrinkToFit="0" vertical="bottom" wrapText="0"/>
    </xf>
    <xf borderId="11" fillId="0" fontId="4" numFmtId="0" xfId="0" applyBorder="1" applyFont="1"/>
    <xf borderId="1" fillId="3" fontId="19" numFmtId="1" xfId="0" applyAlignment="1" applyBorder="1" applyFont="1" applyNumberFormat="1">
      <alignment readingOrder="0" shrinkToFit="0" vertical="bottom" wrapText="0"/>
    </xf>
    <xf borderId="1" fillId="6" fontId="14" numFmtId="4" xfId="0" applyBorder="1" applyFont="1" applyNumberFormat="1"/>
    <xf borderId="12" fillId="0" fontId="23" numFmtId="49" xfId="0" applyAlignment="1" applyBorder="1" applyFont="1" applyNumberFormat="1">
      <alignment readingOrder="0" shrinkToFit="0" vertical="bottom" wrapText="0"/>
    </xf>
    <xf borderId="13" fillId="0" fontId="4" numFmtId="0" xfId="0" applyBorder="1" applyFont="1"/>
    <xf borderId="14" fillId="0" fontId="4" numFmtId="0" xfId="0" applyBorder="1" applyFont="1"/>
    <xf borderId="0" fillId="0" fontId="23" numFmtId="49" xfId="0" applyAlignment="1" applyFont="1" applyNumberFormat="1">
      <alignment readingOrder="0" shrinkToFit="0" vertical="bottom" wrapText="0"/>
    </xf>
    <xf borderId="1" fillId="3" fontId="24" numFmtId="165" xfId="0" applyAlignment="1" applyBorder="1" applyFont="1" applyNumberFormat="1">
      <alignment readingOrder="0" shrinkToFit="0" vertical="bottom" wrapText="0"/>
    </xf>
    <xf borderId="1" fillId="8" fontId="15" numFmtId="165" xfId="0" applyBorder="1" applyFill="1" applyFont="1" applyNumberFormat="1"/>
    <xf borderId="0" fillId="0" fontId="13" numFmtId="0" xfId="0" applyAlignment="1" applyFont="1">
      <alignment shrinkToFit="0" wrapText="1"/>
    </xf>
    <xf borderId="1" fillId="2" fontId="18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 shrinkToFit="0" wrapText="1"/>
    </xf>
    <xf borderId="1" fillId="6" fontId="14" numFmtId="9" xfId="0" applyAlignment="1" applyBorder="1" applyFont="1" applyNumberFormat="1">
      <alignment readingOrder="0"/>
    </xf>
    <xf borderId="1" fillId="0" fontId="25" numFmtId="0" xfId="0" applyAlignment="1" applyBorder="1" applyFont="1">
      <alignment readingOrder="0"/>
    </xf>
    <xf borderId="2" fillId="2" fontId="18" numFmtId="0" xfId="0" applyAlignment="1" applyBorder="1" applyFont="1">
      <alignment readingOrder="0" vertical="bottom"/>
    </xf>
    <xf borderId="15" fillId="2" fontId="18" numFmtId="0" xfId="0" applyAlignment="1" applyBorder="1" applyFont="1">
      <alignment readingOrder="0" vertical="bottom"/>
    </xf>
    <xf borderId="16" fillId="0" fontId="14" numFmtId="0" xfId="0" applyAlignment="1" applyBorder="1" applyFont="1">
      <alignment readingOrder="0" shrinkToFit="0" wrapText="1"/>
    </xf>
    <xf borderId="1" fillId="6" fontId="14" numFmtId="10" xfId="0" applyAlignment="1" applyBorder="1" applyFont="1" applyNumberFormat="1">
      <alignment readingOrder="0"/>
    </xf>
    <xf borderId="6" fillId="0" fontId="26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6" fontId="14" numFmtId="165" xfId="0" applyAlignment="1" applyBorder="1" applyFont="1" applyNumberFormat="1">
      <alignment readingOrder="0"/>
    </xf>
    <xf borderId="1" fillId="0" fontId="14" numFmtId="0" xfId="0" applyAlignment="1" applyBorder="1" applyFont="1">
      <alignment readingOrder="0"/>
    </xf>
    <xf borderId="17" fillId="0" fontId="14" numFmtId="0" xfId="0" applyAlignment="1" applyBorder="1" applyFont="1">
      <alignment readingOrder="0"/>
    </xf>
    <xf borderId="18" fillId="0" fontId="14" numFmtId="0" xfId="0" applyAlignment="1" applyBorder="1" applyFont="1">
      <alignment readingOrder="0" shrinkToFit="0" wrapText="1"/>
    </xf>
    <xf borderId="18" fillId="6" fontId="14" numFmtId="10" xfId="0" applyAlignment="1" applyBorder="1" applyFont="1" applyNumberFormat="1">
      <alignment readingOrder="0"/>
    </xf>
    <xf borderId="19" fillId="0" fontId="27" numFmtId="0" xfId="0" applyAlignment="1" applyBorder="1" applyFont="1">
      <alignment readingOrder="0"/>
    </xf>
    <xf borderId="20" fillId="0" fontId="14" numFmtId="0" xfId="0" applyAlignment="1" applyBorder="1" applyFont="1">
      <alignment readingOrder="0"/>
    </xf>
    <xf borderId="21" fillId="0" fontId="14" numFmtId="0" xfId="0" applyAlignment="1" applyBorder="1" applyFont="1">
      <alignment readingOrder="0" shrinkToFit="0" wrapText="1"/>
    </xf>
    <xf borderId="21" fillId="6" fontId="14" numFmtId="10" xfId="0" applyAlignment="1" applyBorder="1" applyFont="1" applyNumberFormat="1">
      <alignment readingOrder="0"/>
    </xf>
    <xf borderId="22" fillId="0" fontId="28" numFmtId="0" xfId="0" applyAlignment="1" applyBorder="1" applyFont="1">
      <alignment readingOrder="0"/>
    </xf>
    <xf borderId="23" fillId="0" fontId="29" numFmtId="0" xfId="0" applyAlignment="1" applyBorder="1" applyFont="1">
      <alignment readingOrder="0"/>
    </xf>
    <xf borderId="24" fillId="0" fontId="14" numFmtId="0" xfId="0" applyAlignment="1" applyBorder="1" applyFont="1">
      <alignment readingOrder="0"/>
    </xf>
    <xf borderId="25" fillId="0" fontId="14" numFmtId="0" xfId="0" applyAlignment="1" applyBorder="1" applyFont="1">
      <alignment readingOrder="0" shrinkToFit="0" wrapText="1"/>
    </xf>
    <xf borderId="25" fillId="6" fontId="14" numFmtId="10" xfId="0" applyAlignment="1" applyBorder="1" applyFont="1" applyNumberFormat="1">
      <alignment readingOrder="0"/>
    </xf>
    <xf borderId="26" fillId="0" fontId="30" numFmtId="0" xfId="0" applyAlignment="1" applyBorder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16" numFmtId="0" xfId="0" applyAlignment="1" applyFont="1">
      <alignment readingOrder="0"/>
    </xf>
    <xf borderId="27" fillId="2" fontId="11" numFmtId="0" xfId="0" applyAlignment="1" applyBorder="1" applyFont="1">
      <alignment readingOrder="0" shrinkToFit="0" wrapText="1"/>
    </xf>
    <xf borderId="28" fillId="2" fontId="11" numFmtId="0" xfId="0" applyAlignment="1" applyBorder="1" applyFont="1">
      <alignment readingOrder="0" shrinkToFit="0" wrapText="1"/>
    </xf>
    <xf borderId="29" fillId="2" fontId="11" numFmtId="0" xfId="0" applyAlignment="1" applyBorder="1" applyFont="1">
      <alignment readingOrder="0" shrinkToFit="0" wrapText="1"/>
    </xf>
    <xf borderId="30" fillId="0" fontId="14" numFmtId="0" xfId="0" applyAlignment="1" applyBorder="1" applyFont="1">
      <alignment readingOrder="0"/>
    </xf>
    <xf borderId="30" fillId="6" fontId="14" numFmtId="166" xfId="0" applyAlignment="1" applyBorder="1" applyFont="1" applyNumberFormat="1">
      <alignment readingOrder="0"/>
    </xf>
    <xf borderId="30" fillId="6" fontId="14" numFmtId="9" xfId="0" applyAlignment="1" applyBorder="1" applyFont="1" applyNumberFormat="1">
      <alignment readingOrder="0"/>
    </xf>
    <xf borderId="30" fillId="6" fontId="14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9" numFmtId="0" xfId="0" applyAlignment="1" applyFont="1">
      <alignment readingOrder="0" shrinkToFit="0" vertical="bottom" wrapText="1"/>
    </xf>
    <xf borderId="0" fillId="0" fontId="33" numFmtId="0" xfId="0" applyAlignment="1" applyFont="1">
      <alignment vertical="bottom"/>
    </xf>
    <xf borderId="1" fillId="0" fontId="34" numFmtId="0" xfId="0" applyAlignment="1" applyBorder="1" applyFont="1">
      <alignment readingOrder="0" shrinkToFit="0" vertical="bottom" wrapText="1"/>
    </xf>
    <xf borderId="1" fillId="2" fontId="11" numFmtId="0" xfId="0" applyAlignment="1" applyBorder="1" applyFont="1">
      <alignment readingOrder="0" shrinkToFit="0" vertical="bottom" wrapText="1"/>
    </xf>
    <xf borderId="1" fillId="2" fontId="11" numFmtId="167" xfId="0" applyAlignment="1" applyBorder="1" applyFont="1" applyNumberFormat="1">
      <alignment horizontal="right" readingOrder="0" vertical="bottom"/>
    </xf>
    <xf borderId="1" fillId="0" fontId="19" numFmtId="0" xfId="0" applyAlignment="1" applyBorder="1" applyFont="1">
      <alignment readingOrder="0" shrinkToFit="0" vertical="bottom" wrapText="1"/>
    </xf>
    <xf borderId="1" fillId="3" fontId="14" numFmtId="9" xfId="0" applyAlignment="1" applyBorder="1" applyFont="1" applyNumberFormat="1">
      <alignment readingOrder="0" vertical="bottom"/>
    </xf>
    <xf borderId="1" fillId="0" fontId="14" numFmtId="0" xfId="0" applyAlignment="1" applyBorder="1" applyFont="1">
      <alignment vertical="bottom"/>
    </xf>
    <xf borderId="1" fillId="9" fontId="14" numFmtId="10" xfId="0" applyAlignment="1" applyBorder="1" applyFill="1" applyFont="1" applyNumberFormat="1">
      <alignment vertical="bottom"/>
    </xf>
    <xf borderId="1" fillId="0" fontId="24" numFmtId="0" xfId="0" applyAlignment="1" applyBorder="1" applyFont="1">
      <alignment readingOrder="0" shrinkToFit="0" vertical="bottom" wrapText="1"/>
    </xf>
    <xf borderId="1" fillId="8" fontId="35" numFmtId="165" xfId="0" applyAlignment="1" applyBorder="1" applyFont="1" applyNumberFormat="1">
      <alignment vertical="bottom"/>
    </xf>
    <xf borderId="1" fillId="0" fontId="14" numFmtId="165" xfId="0" applyAlignment="1" applyBorder="1" applyFont="1" applyNumberFormat="1">
      <alignment vertical="bottom"/>
    </xf>
    <xf borderId="0" fillId="0" fontId="36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1" fillId="0" fontId="37" numFmtId="0" xfId="0" applyAlignment="1" applyBorder="1" applyFont="1">
      <alignment readingOrder="0" shrinkToFit="0" vertical="bottom" wrapText="1"/>
    </xf>
    <xf borderId="1" fillId="0" fontId="14" numFmtId="10" xfId="0" applyAlignment="1" applyBorder="1" applyFont="1" applyNumberFormat="1">
      <alignment horizontal="right" vertical="bottom"/>
    </xf>
    <xf borderId="1" fillId="0" fontId="14" numFmtId="3" xfId="0" applyAlignment="1" applyBorder="1" applyFont="1" applyNumberFormat="1">
      <alignment horizontal="right" vertical="bottom"/>
    </xf>
    <xf borderId="1" fillId="0" fontId="14" numFmtId="0" xfId="0" applyAlignment="1" applyBorder="1" applyFont="1">
      <alignment readingOrder="0" shrinkToFit="0" vertical="bottom" wrapText="1"/>
    </xf>
    <xf borderId="1" fillId="10" fontId="14" numFmtId="10" xfId="0" applyAlignment="1" applyBorder="1" applyFill="1" applyFont="1" applyNumberFormat="1">
      <alignment horizontal="right" vertical="bottom"/>
    </xf>
    <xf borderId="1" fillId="9" fontId="14" numFmtId="165" xfId="0" applyAlignment="1" applyBorder="1" applyFont="1" applyNumberFormat="1">
      <alignment horizontal="right" vertical="bottom"/>
    </xf>
    <xf borderId="1" fillId="0" fontId="16" numFmtId="0" xfId="0" applyAlignment="1" applyBorder="1" applyFont="1">
      <alignment readingOrder="0" shrinkToFit="0" vertical="bottom" wrapText="1"/>
    </xf>
    <xf borderId="1" fillId="6" fontId="16" numFmtId="165" xfId="0" applyAlignment="1" applyBorder="1" applyFont="1" applyNumberFormat="1">
      <alignment horizontal="right" vertical="bottom"/>
    </xf>
    <xf borderId="1" fillId="0" fontId="14" numFmtId="165" xfId="0" applyAlignment="1" applyBorder="1" applyFont="1" applyNumberFormat="1">
      <alignment horizontal="right" vertical="bottom"/>
    </xf>
    <xf borderId="21" fillId="0" fontId="16" numFmtId="0" xfId="0" applyAlignment="1" applyBorder="1" applyFont="1">
      <alignment horizontal="center" readingOrder="0" shrinkToFit="0" vertical="center" wrapText="1"/>
    </xf>
    <xf borderId="21" fillId="0" fontId="16" numFmtId="10" xfId="0" applyAlignment="1" applyBorder="1" applyFont="1" applyNumberFormat="1">
      <alignment horizontal="center" readingOrder="0" vertical="center"/>
    </xf>
    <xf borderId="21" fillId="0" fontId="14" numFmtId="0" xfId="0" applyAlignment="1" applyBorder="1" applyFont="1">
      <alignment readingOrder="0" shrinkToFit="0" vertical="bottom" wrapText="1"/>
    </xf>
    <xf borderId="21" fillId="0" fontId="16" numFmtId="0" xfId="0" applyAlignment="1" applyBorder="1" applyFont="1">
      <alignment horizontal="center" readingOrder="0" vertical="center"/>
    </xf>
    <xf borderId="31" fillId="0" fontId="16" numFmtId="0" xfId="0" applyAlignment="1" applyBorder="1" applyFont="1">
      <alignment horizontal="center" readingOrder="0" shrinkToFit="0" vertical="center" wrapText="1"/>
    </xf>
    <xf borderId="6" fillId="0" fontId="16" numFmtId="10" xfId="0" applyAlignment="1" applyBorder="1" applyFont="1" applyNumberFormat="1">
      <alignment horizontal="center" readingOrder="0" vertical="center"/>
    </xf>
    <xf borderId="1" fillId="8" fontId="35" numFmtId="165" xfId="0" applyAlignment="1" applyBorder="1" applyFont="1" applyNumberFormat="1">
      <alignment horizontal="right" vertical="bottom"/>
    </xf>
    <xf borderId="21" fillId="0" fontId="37" numFmtId="0" xfId="0" applyAlignment="1" applyBorder="1" applyFont="1">
      <alignment horizontal="center" readingOrder="0" shrinkToFit="0" vertical="center" wrapText="1"/>
    </xf>
    <xf borderId="1" fillId="8" fontId="16" numFmtId="165" xfId="0" applyAlignment="1" applyBorder="1" applyFont="1" applyNumberFormat="1">
      <alignment horizontal="right" vertical="bottom"/>
    </xf>
    <xf borderId="0" fillId="0" fontId="15" numFmtId="0" xfId="0" applyAlignment="1" applyFont="1">
      <alignment readingOrder="0"/>
    </xf>
    <xf borderId="1" fillId="11" fontId="38" numFmtId="165" xfId="0" applyAlignment="1" applyBorder="1" applyFill="1" applyFont="1" applyNumberFormat="1">
      <alignment horizontal="right" vertical="bottom"/>
    </xf>
    <xf borderId="32" fillId="2" fontId="39" numFmtId="0" xfId="0" applyAlignment="1" applyBorder="1" applyFont="1">
      <alignment shrinkToFit="0" vertical="bottom" wrapText="1"/>
    </xf>
    <xf borderId="32" fillId="2" fontId="40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readingOrder="0" vertical="bottom"/>
    </xf>
    <xf borderId="32" fillId="12" fontId="19" numFmtId="165" xfId="0" applyAlignment="1" applyBorder="1" applyFill="1" applyFont="1" applyNumberFormat="1">
      <alignment horizontal="right" vertical="bottom"/>
    </xf>
    <xf borderId="1" fillId="2" fontId="11" numFmtId="0" xfId="0" applyAlignment="1" applyBorder="1" applyFont="1">
      <alignment vertical="bottom"/>
    </xf>
    <xf borderId="33" fillId="12" fontId="19" numFmtId="10" xfId="0" applyAlignment="1" applyBorder="1" applyFont="1" applyNumberFormat="1">
      <alignment horizontal="right" vertical="bottom"/>
    </xf>
    <xf borderId="0" fillId="0" fontId="20" numFmtId="0" xfId="0" applyAlignment="1" applyFont="1">
      <alignment readingOrder="0" vertical="bottom"/>
    </xf>
    <xf borderId="0" fillId="0" fontId="41" numFmtId="0" xfId="0" applyAlignment="1" applyFont="1">
      <alignment vertical="bottom"/>
    </xf>
    <xf borderId="0" fillId="0" fontId="19" numFmtId="0" xfId="0" applyAlignment="1" applyFont="1">
      <alignment shrinkToFit="0" vertical="bottom" wrapText="1"/>
    </xf>
    <xf borderId="0" fillId="0" fontId="19" numFmtId="0" xfId="0" applyAlignment="1" applyFont="1">
      <alignment vertical="bottom"/>
    </xf>
    <xf borderId="31" fillId="3" fontId="20" numFmtId="0" xfId="0" applyAlignment="1" applyBorder="1" applyFont="1">
      <alignment readingOrder="0" vertical="bottom"/>
    </xf>
    <xf borderId="1" fillId="0" fontId="42" numFmtId="0" xfId="0" applyAlignment="1" applyBorder="1" applyFont="1">
      <alignment shrinkToFit="0" vertical="bottom" wrapText="1"/>
    </xf>
    <xf borderId="1" fillId="0" fontId="19" numFmtId="0" xfId="0" applyAlignment="1" applyBorder="1" applyFont="1">
      <alignment vertical="bottom"/>
    </xf>
    <xf borderId="0" fillId="0" fontId="41" numFmtId="0" xfId="0" applyAlignment="1" applyFont="1">
      <alignment readingOrder="0" vertical="bottom"/>
    </xf>
    <xf borderId="2" fillId="0" fontId="19" numFmtId="0" xfId="0" applyAlignment="1" applyBorder="1" applyFont="1">
      <alignment shrinkToFit="0" vertical="bottom" wrapText="1"/>
    </xf>
    <xf borderId="3" fillId="3" fontId="19" numFmtId="164" xfId="0" applyAlignment="1" applyBorder="1" applyFont="1" applyNumberFormat="1">
      <alignment horizontal="right" vertical="bottom"/>
    </xf>
    <xf borderId="34" fillId="0" fontId="19" numFmtId="0" xfId="0" applyAlignment="1" applyBorder="1" applyFont="1">
      <alignment readingOrder="0" shrinkToFit="0" vertical="bottom" wrapText="1"/>
    </xf>
    <xf borderId="35" fillId="3" fontId="19" numFmtId="0" xfId="0" applyAlignment="1" applyBorder="1" applyFont="1">
      <alignment horizontal="right" vertical="bottom"/>
    </xf>
    <xf borderId="0" fillId="0" fontId="24" numFmtId="0" xfId="0" applyAlignment="1" applyFont="1">
      <alignment vertical="bottom"/>
    </xf>
    <xf borderId="34" fillId="0" fontId="19" numFmtId="0" xfId="0" applyAlignment="1" applyBorder="1" applyFont="1">
      <alignment shrinkToFit="0" vertical="bottom" wrapText="1"/>
    </xf>
    <xf borderId="35" fillId="3" fontId="19" numFmtId="1" xfId="0" applyAlignment="1" applyBorder="1" applyFont="1" applyNumberFormat="1">
      <alignment horizontal="right" vertical="bottom"/>
    </xf>
    <xf borderId="31" fillId="3" fontId="24" numFmtId="9" xfId="0" applyAlignment="1" applyBorder="1" applyFont="1" applyNumberFormat="1">
      <alignment horizontal="right" vertical="bottom"/>
    </xf>
    <xf borderId="35" fillId="13" fontId="19" numFmtId="49" xfId="0" applyAlignment="1" applyBorder="1" applyFill="1" applyFont="1" applyNumberFormat="1">
      <alignment vertical="bottom"/>
    </xf>
    <xf borderId="0" fillId="0" fontId="43" numFmtId="0" xfId="0" applyAlignment="1" applyFont="1">
      <alignment vertical="bottom"/>
    </xf>
    <xf borderId="0" fillId="0" fontId="44" numFmtId="0" xfId="0" applyAlignment="1" applyFont="1">
      <alignment vertical="bottom"/>
    </xf>
    <xf borderId="35" fillId="10" fontId="19" numFmtId="10" xfId="0" applyAlignment="1" applyBorder="1" applyFont="1" applyNumberFormat="1">
      <alignment horizontal="right" vertical="bottom"/>
    </xf>
    <xf borderId="1" fillId="0" fontId="19" numFmtId="0" xfId="0" applyAlignment="1" applyBorder="1" applyFont="1">
      <alignment shrinkToFit="0" vertical="bottom" wrapText="1"/>
    </xf>
    <xf borderId="1" fillId="10" fontId="19" numFmtId="165" xfId="0" applyAlignment="1" applyBorder="1" applyFont="1" applyNumberFormat="1">
      <alignment horizontal="right" vertical="bottom"/>
    </xf>
    <xf borderId="1" fillId="0" fontId="24" numFmtId="0" xfId="0" applyAlignment="1" applyBorder="1" applyFont="1">
      <alignment vertical="bottom"/>
    </xf>
    <xf borderId="1" fillId="10" fontId="19" numFmtId="0" xfId="0" applyAlignment="1" applyBorder="1" applyFont="1">
      <alignment horizontal="right" vertical="bottom"/>
    </xf>
    <xf borderId="1" fillId="10" fontId="19" numFmtId="49" xfId="0" applyAlignment="1" applyBorder="1" applyFont="1" applyNumberFormat="1">
      <alignment vertical="bottom"/>
    </xf>
    <xf borderId="0" fillId="0" fontId="41" numFmtId="49" xfId="0" applyAlignment="1" applyFont="1" applyNumberFormat="1">
      <alignment vertical="bottom"/>
    </xf>
    <xf borderId="1" fillId="2" fontId="18" numFmtId="167" xfId="0" applyAlignment="1" applyBorder="1" applyFont="1" applyNumberFormat="1">
      <alignment horizontal="right" vertical="bottom"/>
    </xf>
    <xf borderId="21" fillId="0" fontId="9" numFmtId="0" xfId="0" applyAlignment="1" applyBorder="1" applyFont="1">
      <alignment shrinkToFit="0" vertical="bottom" wrapText="1"/>
    </xf>
    <xf borderId="1" fillId="0" fontId="41" numFmtId="165" xfId="0" applyAlignment="1" applyBorder="1" applyFont="1" applyNumberFormat="1">
      <alignment vertical="bottom"/>
    </xf>
    <xf borderId="1" fillId="0" fontId="19" numFmtId="165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shrinkToFit="0" vertical="bottom" wrapText="1"/>
    </xf>
    <xf borderId="1" fillId="6" fontId="41" numFmtId="165" xfId="0" applyAlignment="1" applyBorder="1" applyFont="1" applyNumberFormat="1">
      <alignment vertical="bottom"/>
    </xf>
    <xf borderId="1" fillId="6" fontId="19" numFmtId="165" xfId="0" applyAlignment="1" applyBorder="1" applyFont="1" applyNumberFormat="1">
      <alignment horizontal="right" vertical="bottom"/>
    </xf>
    <xf borderId="1" fillId="6" fontId="41" numFmtId="165" xfId="0" applyAlignment="1" applyBorder="1" applyFont="1" applyNumberFormat="1">
      <alignment horizontal="right" vertical="bottom"/>
    </xf>
    <xf borderId="1" fillId="2" fontId="45" numFmtId="167" xfId="0" applyAlignment="1" applyBorder="1" applyFont="1" applyNumberFormat="1">
      <alignment horizontal="right" vertical="bottom"/>
    </xf>
    <xf borderId="1" fillId="0" fontId="41" numFmtId="0" xfId="0" applyAlignment="1" applyBorder="1" applyFont="1">
      <alignment vertical="bottom"/>
    </xf>
    <xf borderId="1" fillId="0" fontId="19" numFmtId="165" xfId="0" applyAlignment="1" applyBorder="1" applyFont="1" applyNumberFormat="1">
      <alignment horizontal="right" vertical="bottom"/>
    </xf>
    <xf borderId="1" fillId="0" fontId="41" numFmtId="165" xfId="0" applyAlignment="1" applyBorder="1" applyFont="1" applyNumberFormat="1">
      <alignment vertical="bottom"/>
    </xf>
    <xf borderId="1" fillId="0" fontId="41" numFmtId="3" xfId="0" applyAlignment="1" applyBorder="1" applyFont="1" applyNumberFormat="1">
      <alignment vertical="bottom"/>
    </xf>
    <xf borderId="1" fillId="6" fontId="41" numFmtId="165" xfId="0" applyAlignment="1" applyBorder="1" applyFont="1" applyNumberFormat="1">
      <alignment vertical="bottom"/>
    </xf>
    <xf borderId="1" fillId="6" fontId="19" numFmtId="165" xfId="0" applyAlignment="1" applyBorder="1" applyFont="1" applyNumberFormat="1">
      <alignment horizontal="right" vertical="bottom"/>
    </xf>
    <xf borderId="15" fillId="0" fontId="41" numFmtId="0" xfId="0" applyAlignment="1" applyBorder="1" applyFont="1">
      <alignment vertical="bottom"/>
    </xf>
    <xf borderId="0" fillId="0" fontId="41" numFmtId="3" xfId="0" applyAlignment="1" applyFont="1" applyNumberFormat="1">
      <alignment vertical="bottom"/>
    </xf>
    <xf borderId="17" fillId="2" fontId="18" numFmtId="0" xfId="0" applyAlignment="1" applyBorder="1" applyFont="1">
      <alignment vertical="bottom"/>
    </xf>
    <xf borderId="36" fillId="0" fontId="12" numFmtId="0" xfId="0" applyBorder="1" applyFont="1"/>
    <xf borderId="37" fillId="0" fontId="41" numFmtId="0" xfId="0" applyAlignment="1" applyBorder="1" applyFont="1">
      <alignment vertical="bottom"/>
    </xf>
    <xf borderId="24" fillId="2" fontId="18" numFmtId="0" xfId="0" applyAlignment="1" applyBorder="1" applyFont="1">
      <alignment vertical="bottom"/>
    </xf>
    <xf borderId="38" fillId="2" fontId="18" numFmtId="0" xfId="0" applyAlignment="1" applyBorder="1" applyFont="1">
      <alignment vertical="bottom"/>
    </xf>
    <xf borderId="21" fillId="0" fontId="41" numFmtId="3" xfId="0" applyAlignment="1" applyBorder="1" applyFont="1" applyNumberFormat="1">
      <alignment vertical="bottom"/>
    </xf>
    <xf borderId="6" fillId="6" fontId="19" numFmtId="3" xfId="0" applyAlignment="1" applyBorder="1" applyFont="1" applyNumberFormat="1">
      <alignment horizontal="right" vertical="bottom"/>
    </xf>
    <xf borderId="33" fillId="6" fontId="19" numFmtId="10" xfId="0" applyAlignment="1" applyBorder="1" applyFont="1" applyNumberFormat="1">
      <alignment horizontal="right" vertical="bottom"/>
    </xf>
    <xf borderId="39" fillId="0" fontId="41" numFmtId="3" xfId="0" applyAlignment="1" applyBorder="1" applyFont="1" applyNumberFormat="1">
      <alignment vertical="bottom"/>
    </xf>
    <xf borderId="5" fillId="6" fontId="19" numFmtId="165" xfId="0" applyAlignment="1" applyBorder="1" applyFont="1" applyNumberFormat="1">
      <alignment horizontal="right" vertical="bottom"/>
    </xf>
    <xf borderId="1" fillId="6" fontId="19" numFmtId="10" xfId="0" applyAlignment="1" applyBorder="1" applyFont="1" applyNumberFormat="1">
      <alignment horizontal="right" vertical="bottom"/>
    </xf>
    <xf borderId="16" fillId="0" fontId="19" numFmtId="0" xfId="0" applyAlignment="1" applyBorder="1" applyFont="1">
      <alignment shrinkToFit="0" vertical="bottom" wrapText="1"/>
    </xf>
    <xf borderId="33" fillId="0" fontId="41" numFmtId="3" xfId="0" applyAlignment="1" applyBorder="1" applyFont="1" applyNumberFormat="1">
      <alignment vertical="bottom"/>
    </xf>
    <xf borderId="0" fillId="3" fontId="20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9" numFmtId="0" xfId="0" applyAlignment="1" applyBorder="1" applyFont="1">
      <alignment readingOrder="0" vertical="bottom"/>
    </xf>
    <xf borderId="31" fillId="0" fontId="19" numFmtId="0" xfId="0" applyAlignment="1" applyBorder="1" applyFont="1">
      <alignment readingOrder="0" shrinkToFit="0" vertical="bottom" wrapText="1"/>
    </xf>
    <xf borderId="31" fillId="3" fontId="19" numFmtId="165" xfId="0" applyAlignment="1" applyBorder="1" applyFont="1" applyNumberFormat="1">
      <alignment horizontal="right" readingOrder="0" vertical="bottom"/>
    </xf>
    <xf borderId="31" fillId="0" fontId="19" numFmtId="0" xfId="0" applyAlignment="1" applyBorder="1" applyFont="1">
      <alignment shrinkToFit="0" vertical="bottom" wrapText="1"/>
    </xf>
    <xf borderId="31" fillId="3" fontId="19" numFmtId="165" xfId="0" applyAlignment="1" applyBorder="1" applyFont="1" applyNumberFormat="1">
      <alignment horizontal="right" readingOrder="0" vertical="bottom"/>
    </xf>
    <xf borderId="31" fillId="3" fontId="19" numFmtId="49" xfId="0" applyAlignment="1" applyBorder="1" applyFont="1" applyNumberFormat="1">
      <alignment horizontal="right" readingOrder="0" vertical="bottom"/>
    </xf>
    <xf borderId="31" fillId="3" fontId="19" numFmtId="10" xfId="0" applyAlignment="1" applyBorder="1" applyFont="1" applyNumberFormat="1">
      <alignment horizontal="right" vertical="bottom"/>
    </xf>
    <xf borderId="31" fillId="10" fontId="19" numFmtId="10" xfId="0" applyAlignment="1" applyBorder="1" applyFont="1" applyNumberFormat="1">
      <alignment horizontal="right" vertical="bottom"/>
    </xf>
    <xf borderId="31" fillId="10" fontId="19" numFmtId="165" xfId="0" applyAlignment="1" applyBorder="1" applyFont="1" applyNumberFormat="1">
      <alignment horizontal="right" readingOrder="0" vertical="bottom"/>
    </xf>
    <xf borderId="31" fillId="3" fontId="19" numFmtId="165" xfId="0" applyAlignment="1" applyBorder="1" applyFont="1" applyNumberFormat="1">
      <alignment horizontal="right" vertical="bottom"/>
    </xf>
    <xf borderId="21" fillId="3" fontId="14" numFmtId="0" xfId="0" applyAlignment="1" applyBorder="1" applyFont="1">
      <alignment readingOrder="0" shrinkToFit="0" vertical="bottom" wrapText="1"/>
    </xf>
    <xf borderId="1" fillId="0" fontId="41" numFmtId="165" xfId="0" applyAlignment="1" applyBorder="1" applyFont="1" applyNumberFormat="1">
      <alignment readingOrder="0" vertical="bottom"/>
    </xf>
    <xf borderId="1" fillId="7" fontId="14" numFmtId="165" xfId="0" applyAlignment="1" applyBorder="1" applyFont="1" applyNumberFormat="1">
      <alignment horizontal="right" vertical="bottom"/>
    </xf>
    <xf borderId="21" fillId="0" fontId="9" numFmtId="0" xfId="0" applyAlignment="1" applyBorder="1" applyFont="1">
      <alignment readingOrder="0" shrinkToFit="0" vertical="bottom" wrapText="1"/>
    </xf>
    <xf borderId="1" fillId="0" fontId="19" numFmtId="165" xfId="0" applyAlignment="1" applyBorder="1" applyFont="1" applyNumberFormat="1">
      <alignment horizontal="right" readingOrder="0" vertical="bottom"/>
    </xf>
    <xf borderId="1" fillId="0" fontId="43" numFmtId="165" xfId="0" applyAlignment="1" applyBorder="1" applyFont="1" applyNumberFormat="1">
      <alignment horizontal="right" vertical="bottom"/>
    </xf>
    <xf borderId="1" fillId="3" fontId="19" numFmtId="165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readingOrder="0" shrinkToFit="0" vertical="bottom" wrapText="1"/>
    </xf>
    <xf borderId="32" fillId="2" fontId="18" numFmtId="0" xfId="0" applyAlignment="1" applyBorder="1" applyFont="1">
      <alignment horizontal="center" readingOrder="0" vertical="bottom"/>
    </xf>
    <xf borderId="32" fillId="2" fontId="18" numFmtId="0" xfId="0" applyAlignment="1" applyBorder="1" applyFont="1">
      <alignment horizontal="center" vertical="bottom"/>
    </xf>
    <xf borderId="32" fillId="14" fontId="19" numFmtId="10" xfId="0" applyAlignment="1" applyBorder="1" applyFill="1" applyFont="1" applyNumberFormat="1">
      <alignment horizontal="right" vertical="bottom"/>
    </xf>
    <xf borderId="31" fillId="3" fontId="19" numFmtId="165" xfId="0" applyAlignment="1" applyBorder="1" applyFont="1" applyNumberFormat="1">
      <alignment horizontal="right" vertical="bottom"/>
    </xf>
    <xf borderId="31" fillId="3" fontId="19" numFmtId="1" xfId="0" applyAlignment="1" applyBorder="1" applyFont="1" applyNumberFormat="1">
      <alignment horizontal="right" vertical="bottom"/>
    </xf>
    <xf borderId="0" fillId="0" fontId="4" numFmtId="49" xfId="0" applyFont="1" applyNumberFormat="1"/>
    <xf borderId="31" fillId="10" fontId="19" numFmtId="168" xfId="0" applyAlignment="1" applyBorder="1" applyFont="1" applyNumberFormat="1">
      <alignment horizontal="right" vertical="bottom"/>
    </xf>
    <xf borderId="31" fillId="10" fontId="19" numFmtId="165" xfId="0" applyAlignment="1" applyBorder="1" applyFont="1" applyNumberFormat="1">
      <alignment vertical="bottom"/>
    </xf>
    <xf borderId="1" fillId="3" fontId="41" numFmtId="165" xfId="0" applyAlignment="1" applyBorder="1" applyFont="1" applyNumberFormat="1">
      <alignment readingOrder="0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shrinkToFit="0" vertical="bottom" wrapText="1"/>
    </xf>
    <xf borderId="31" fillId="10" fontId="19" numFmtId="165" xfId="0" applyAlignment="1" applyBorder="1" applyFont="1" applyNumberFormat="1">
      <alignment horizontal="right" vertical="bottom"/>
    </xf>
    <xf borderId="31" fillId="3" fontId="19" numFmtId="10" xfId="0" applyAlignment="1" applyBorder="1" applyFont="1" applyNumberFormat="1">
      <alignment horizontal="right" readingOrder="0" vertical="bottom"/>
    </xf>
    <xf borderId="31" fillId="10" fontId="19" numFmtId="1" xfId="0" applyAlignment="1" applyBorder="1" applyFont="1" applyNumberFormat="1">
      <alignment horizontal="right" vertical="bottom"/>
    </xf>
    <xf borderId="31" fillId="10" fontId="19" numFmtId="49" xfId="0" applyAlignment="1" applyBorder="1" applyFont="1" applyNumberFormat="1">
      <alignment horizontal="right" vertical="bottom"/>
    </xf>
    <xf borderId="0" fillId="0" fontId="46" numFmtId="0" xfId="0" applyAlignment="1" applyFont="1">
      <alignment vertical="bottom"/>
    </xf>
    <xf borderId="1" fillId="0" fontId="47" numFmtId="0" xfId="0" applyAlignment="1" applyBorder="1" applyFont="1">
      <alignment shrinkToFit="0" vertical="bottom" wrapText="1"/>
    </xf>
    <xf borderId="1" fillId="2" fontId="18" numFmtId="0" xfId="0" applyAlignment="1" applyBorder="1" applyFont="1">
      <alignment vertical="bottom"/>
    </xf>
    <xf borderId="1" fillId="3" fontId="41" numFmtId="9" xfId="0" applyAlignment="1" applyBorder="1" applyFont="1" applyNumberFormat="1">
      <alignment horizontal="right" readingOrder="0" shrinkToFit="0" vertical="bottom" wrapText="1"/>
    </xf>
    <xf borderId="1" fillId="0" fontId="41" numFmtId="0" xfId="0" applyAlignment="1" applyBorder="1" applyFont="1">
      <alignment readingOrder="0" vertical="bottom"/>
    </xf>
    <xf borderId="1" fillId="3" fontId="41" numFmtId="9" xfId="0" applyAlignment="1" applyBorder="1" applyFont="1" applyNumberFormat="1">
      <alignment horizontal="right" shrinkToFit="0" vertical="bottom" wrapText="1"/>
    </xf>
    <xf borderId="1" fillId="0" fontId="41" numFmtId="49" xfId="0" applyAlignment="1" applyBorder="1" applyFont="1" applyNumberFormat="1">
      <alignment vertical="bottom"/>
    </xf>
    <xf borderId="1" fillId="7" fontId="19" numFmtId="165" xfId="0" applyAlignment="1" applyBorder="1" applyFont="1" applyNumberFormat="1">
      <alignment horizontal="right" vertical="bottom"/>
    </xf>
    <xf borderId="0" fillId="0" fontId="41" numFmtId="165" xfId="0" applyAlignment="1" applyFont="1" applyNumberFormat="1">
      <alignment vertical="bottom"/>
    </xf>
    <xf borderId="15" fillId="2" fontId="18" numFmtId="0" xfId="0" applyAlignment="1" applyBorder="1" applyFont="1">
      <alignment vertical="bottom"/>
    </xf>
    <xf borderId="37" fillId="2" fontId="18" numFmtId="0" xfId="0" applyAlignment="1" applyBorder="1" applyFont="1">
      <alignment vertical="bottom"/>
    </xf>
    <xf borderId="6" fillId="2" fontId="18" numFmtId="0" xfId="0" applyAlignment="1" applyBorder="1" applyFont="1">
      <alignment vertical="bottom"/>
    </xf>
    <xf borderId="0" fillId="0" fontId="47" numFmtId="0" xfId="0" applyAlignment="1" applyFont="1">
      <alignment shrinkToFit="0" vertical="bottom" wrapText="1"/>
    </xf>
    <xf borderId="1" fillId="2" fontId="41" numFmtId="0" xfId="0" applyAlignment="1" applyBorder="1" applyFont="1">
      <alignment vertical="bottom"/>
    </xf>
    <xf borderId="1" fillId="3" fontId="19" numFmtId="9" xfId="0" applyAlignment="1" applyBorder="1" applyFont="1" applyNumberFormat="1">
      <alignment horizontal="right" readingOrder="0" vertical="bottom"/>
    </xf>
    <xf borderId="1" fillId="15" fontId="19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1" fillId="0" fontId="41" numFmtId="165" xfId="0" applyAlignment="1" applyBorder="1" applyFont="1" applyNumberFormat="1">
      <alignment horizontal="right" vertical="bottom"/>
    </xf>
    <xf borderId="1" fillId="0" fontId="47" numFmtId="0" xfId="0" applyAlignment="1" applyBorder="1" applyFont="1">
      <alignment readingOrder="0" shrinkToFit="0" vertical="bottom" wrapText="1"/>
    </xf>
    <xf borderId="1" fillId="6" fontId="24" numFmtId="10" xfId="0" applyAlignment="1" applyBorder="1" applyFont="1" applyNumberFormat="1">
      <alignment horizontal="right" vertical="bottom"/>
    </xf>
    <xf borderId="0" fillId="0" fontId="48" numFmtId="0" xfId="0" applyAlignment="1" applyFont="1">
      <alignment readingOrder="0" vertical="bottom"/>
    </xf>
    <xf borderId="1" fillId="10" fontId="19" numFmtId="10" xfId="0" applyAlignment="1" applyBorder="1" applyFont="1" applyNumberFormat="1">
      <alignment horizontal="right" vertical="bottom"/>
    </xf>
    <xf borderId="1" fillId="0" fontId="49" numFmtId="0" xfId="0" applyAlignment="1" applyBorder="1" applyFont="1">
      <alignment vertical="bottom"/>
    </xf>
    <xf borderId="1" fillId="10" fontId="19" numFmtId="165" xfId="0" applyAlignment="1" applyBorder="1" applyFont="1" applyNumberFormat="1">
      <alignment horizontal="right" vertical="bottom"/>
    </xf>
    <xf borderId="1" fillId="3" fontId="19" numFmtId="0" xfId="0" applyAlignment="1" applyBorder="1" applyFont="1">
      <alignment horizontal="right" readingOrder="0" vertical="bottom"/>
    </xf>
    <xf borderId="1" fillId="9" fontId="19" numFmtId="165" xfId="0" applyAlignment="1" applyBorder="1" applyFont="1" applyNumberFormat="1">
      <alignment horizontal="right" vertical="bottom"/>
    </xf>
    <xf borderId="1" fillId="7" fontId="41" numFmtId="165" xfId="0" applyAlignment="1" applyBorder="1" applyFont="1" applyNumberFormat="1">
      <alignment horizontal="right" vertical="bottom"/>
    </xf>
    <xf borderId="0" fillId="0" fontId="41" numFmtId="49" xfId="0" applyAlignment="1" applyFont="1" applyNumberFormat="1">
      <alignment readingOrder="0" vertical="bottom"/>
    </xf>
    <xf borderId="1" fillId="3" fontId="19" numFmtId="165" xfId="0" applyAlignment="1" applyBorder="1" applyFont="1" applyNumberFormat="1">
      <alignment horizontal="right" readingOrder="0" vertical="bottom"/>
    </xf>
    <xf borderId="0" fillId="0" fontId="41" numFmtId="165" xfId="0" applyAlignment="1" applyFont="1" applyNumberFormat="1">
      <alignment vertical="bottom"/>
    </xf>
    <xf borderId="1" fillId="3" fontId="19" numFmtId="10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shrinkToFit="0" vertical="bottom" wrapText="1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vertical="bottom"/>
    </xf>
    <xf borderId="0" fillId="0" fontId="19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/>
    </xf>
    <xf borderId="0" fillId="2" fontId="11" numFmtId="167" xfId="0" applyFont="1" applyNumberFormat="1"/>
    <xf borderId="0" fillId="16" fontId="3" numFmtId="0" xfId="0" applyAlignment="1" applyFill="1" applyFont="1">
      <alignment readingOrder="0"/>
    </xf>
    <xf borderId="0" fillId="16" fontId="15" numFmtId="0" xfId="0" applyAlignment="1" applyFont="1">
      <alignment readingOrder="0"/>
    </xf>
    <xf borderId="0" fillId="8" fontId="16" numFmtId="165" xfId="0" applyFont="1" applyNumberFormat="1"/>
    <xf borderId="0" fillId="17" fontId="4" numFmtId="0" xfId="0" applyAlignment="1" applyFill="1" applyFont="1">
      <alignment readingOrder="0"/>
    </xf>
    <xf borderId="0" fillId="17" fontId="13" numFmtId="0" xfId="0" applyAlignment="1" applyFont="1">
      <alignment readingOrder="0"/>
    </xf>
    <xf borderId="0" fillId="0" fontId="14" numFmtId="165" xfId="0" applyFont="1" applyNumberFormat="1"/>
    <xf borderId="0" fillId="17" fontId="3" numFmtId="0" xfId="0" applyAlignment="1" applyFont="1">
      <alignment readingOrder="0"/>
    </xf>
    <xf borderId="0" fillId="17" fontId="15" numFmtId="0" xfId="0" applyAlignment="1" applyFont="1">
      <alignment readingOrder="0"/>
    </xf>
    <xf borderId="0" fillId="18" fontId="4" numFmtId="0" xfId="0" applyAlignment="1" applyFill="1" applyFont="1">
      <alignment readingOrder="0"/>
    </xf>
    <xf borderId="0" fillId="18" fontId="13" numFmtId="0" xfId="0" applyAlignment="1" applyFont="1">
      <alignment readingOrder="0"/>
    </xf>
    <xf borderId="0" fillId="18" fontId="3" numFmtId="0" xfId="0" applyAlignment="1" applyFont="1">
      <alignment readingOrder="0"/>
    </xf>
    <xf borderId="0" fillId="18" fontId="15" numFmtId="0" xfId="0" applyAlignment="1" applyFont="1">
      <alignment readingOrder="0"/>
    </xf>
    <xf borderId="0" fillId="6" fontId="14" numFmtId="165" xfId="0" applyAlignment="1" applyFont="1" applyNumberFormat="1">
      <alignment readingOrder="0"/>
    </xf>
    <xf borderId="0" fillId="6" fontId="14" numFmtId="165" xfId="0" applyFont="1" applyNumberFormat="1"/>
    <xf borderId="0" fillId="0" fontId="14" numFmtId="165" xfId="0" applyAlignment="1" applyFont="1" applyNumberFormat="1">
      <alignment readingOrder="0"/>
    </xf>
    <xf borderId="0" fillId="0" fontId="50" numFmtId="0" xfId="0" applyAlignment="1" applyFont="1">
      <alignment readingOrder="0"/>
    </xf>
    <xf borderId="0" fillId="0" fontId="14" numFmtId="165" xfId="0" applyFont="1" applyNumberFormat="1"/>
    <xf borderId="0" fillId="6" fontId="14" numFmtId="165" xfId="0" applyAlignment="1" applyFont="1" applyNumberFormat="1">
      <alignment readingOrder="0"/>
    </xf>
    <xf borderId="15" fillId="19" fontId="51" numFmtId="0" xfId="0" applyAlignment="1" applyBorder="1" applyFill="1" applyFont="1">
      <alignment readingOrder="0" vertical="bottom"/>
    </xf>
    <xf borderId="37" fillId="19" fontId="51" numFmtId="0" xfId="0" applyAlignment="1" applyBorder="1" applyFont="1">
      <alignment vertical="bottom"/>
    </xf>
    <xf borderId="6" fillId="19" fontId="51" numFmtId="0" xfId="0" applyAlignment="1" applyBorder="1" applyFont="1">
      <alignment vertical="bottom"/>
    </xf>
    <xf borderId="0" fillId="20" fontId="14" numFmtId="0" xfId="0" applyFill="1" applyFont="1"/>
    <xf borderId="0" fillId="0" fontId="14" numFmtId="10" xfId="0" applyFont="1" applyNumberFormat="1"/>
    <xf borderId="0" fillId="0" fontId="3" numFmtId="0" xfId="0" applyFont="1"/>
    <xf borderId="0" fillId="8" fontId="16" numFmtId="10" xfId="0" applyFont="1" applyNumberFormat="1"/>
    <xf borderId="0" fillId="6" fontId="14" numFmtId="10" xfId="0" applyFont="1" applyNumberFormat="1"/>
    <xf borderId="0" fillId="6" fontId="16" numFmtId="165" xfId="0" applyFont="1" applyNumberFormat="1"/>
    <xf borderId="0" fillId="6" fontId="16" numFmtId="10" xfId="0" applyFont="1" applyNumberFormat="1"/>
    <xf borderId="0" fillId="0" fontId="4" numFmtId="167" xfId="0" applyFont="1" applyNumberFormat="1"/>
    <xf borderId="0" fillId="0" fontId="4" numFmtId="165" xfId="0" applyFont="1" applyNumberFormat="1"/>
    <xf borderId="0" fillId="0" fontId="52" numFmtId="0" xfId="0" applyAlignment="1" applyFont="1">
      <alignment readingOrder="0" vertical="bottom"/>
    </xf>
    <xf borderId="8" fillId="9" fontId="53" numFmtId="167" xfId="0" applyAlignment="1" applyBorder="1" applyFont="1" applyNumberFormat="1">
      <alignment horizontal="right" vertical="bottom"/>
    </xf>
    <xf borderId="9" fillId="9" fontId="53" numFmtId="167" xfId="0" applyAlignment="1" applyBorder="1" applyFont="1" applyNumberFormat="1">
      <alignment horizontal="right" vertical="bottom"/>
    </xf>
    <xf borderId="40" fillId="21" fontId="54" numFmtId="0" xfId="0" applyAlignment="1" applyBorder="1" applyFill="1" applyFont="1">
      <alignment horizontal="center" readingOrder="0" shrinkToFit="0" vertical="bottom" wrapText="1"/>
    </xf>
    <xf borderId="8" fillId="0" fontId="33" numFmtId="165" xfId="0" applyAlignment="1" applyBorder="1" applyFont="1" applyNumberFormat="1">
      <alignment horizontal="right" vertical="bottom"/>
    </xf>
    <xf borderId="41" fillId="22" fontId="54" numFmtId="0" xfId="0" applyAlignment="1" applyBorder="1" applyFill="1" applyFont="1">
      <alignment horizontal="center" readingOrder="0" shrinkToFit="0" vertical="bottom" wrapText="1"/>
    </xf>
    <xf borderId="0" fillId="0" fontId="33" numFmtId="165" xfId="0" applyAlignment="1" applyFont="1" applyNumberFormat="1">
      <alignment horizontal="right" vertical="bottom"/>
    </xf>
    <xf borderId="0" fillId="0" fontId="33" numFmtId="0" xfId="0" applyAlignment="1" applyFont="1">
      <alignment readingOrder="0" vertical="bottom"/>
    </xf>
    <xf borderId="31" fillId="0" fontId="33" numFmtId="0" xfId="0" applyAlignment="1" applyBorder="1" applyFont="1">
      <alignment vertical="bottom"/>
    </xf>
    <xf borderId="31" fillId="0" fontId="4" numFmtId="167" xfId="0" applyBorder="1" applyFont="1" applyNumberFormat="1"/>
    <xf borderId="31" fillId="0" fontId="33" numFmtId="0" xfId="0" applyAlignment="1" applyBorder="1" applyFont="1">
      <alignment readingOrder="0" vertical="bottom"/>
    </xf>
    <xf borderId="31" fillId="0" fontId="33" numFmtId="165" xfId="0" applyAlignment="1" applyBorder="1" applyFont="1" applyNumberFormat="1">
      <alignment vertical="bottom"/>
    </xf>
    <xf borderId="42" fillId="2" fontId="55" numFmtId="0" xfId="0" applyAlignment="1" applyBorder="1" applyFont="1">
      <alignment horizontal="left" readingOrder="0" shrinkToFit="0" vertical="center" wrapText="0"/>
    </xf>
    <xf borderId="43" fillId="2" fontId="55" numFmtId="0" xfId="0" applyAlignment="1" applyBorder="1" applyFont="1">
      <alignment horizontal="center" readingOrder="0" shrinkToFit="0" vertical="center" wrapText="0"/>
    </xf>
    <xf borderId="44" fillId="2" fontId="55" numFmtId="0" xfId="0" applyAlignment="1" applyBorder="1" applyFont="1">
      <alignment horizontal="center" readingOrder="0" shrinkToFit="0" vertical="center" wrapText="0"/>
    </xf>
    <xf borderId="45" fillId="12" fontId="56" numFmtId="0" xfId="0" applyAlignment="1" applyBorder="1" applyFont="1">
      <alignment readingOrder="0" shrinkToFit="0" vertical="bottom" wrapText="0"/>
    </xf>
    <xf borderId="32" fillId="12" fontId="56" numFmtId="165" xfId="0" applyAlignment="1" applyBorder="1" applyFont="1" applyNumberFormat="1">
      <alignment shrinkToFit="0" vertical="bottom" wrapText="0"/>
    </xf>
    <xf borderId="32" fillId="12" fontId="57" numFmtId="10" xfId="0" applyAlignment="1" applyBorder="1" applyFont="1" applyNumberFormat="1">
      <alignment shrinkToFit="0" vertical="bottom" wrapText="0"/>
    </xf>
    <xf borderId="46" fillId="12" fontId="57" numFmtId="10" xfId="0" applyAlignment="1" applyBorder="1" applyFont="1" applyNumberFormat="1">
      <alignment shrinkToFit="0" vertical="bottom" wrapText="0"/>
    </xf>
    <xf borderId="47" fillId="12" fontId="56" numFmtId="0" xfId="0" applyAlignment="1" applyBorder="1" applyFont="1">
      <alignment readingOrder="0" shrinkToFit="0" vertical="bottom" wrapText="0"/>
    </xf>
    <xf borderId="48" fillId="12" fontId="56" numFmtId="165" xfId="0" applyAlignment="1" applyBorder="1" applyFont="1" applyNumberFormat="1">
      <alignment shrinkToFit="0" vertical="bottom" wrapText="0"/>
    </xf>
    <xf borderId="48" fillId="12" fontId="57" numFmtId="10" xfId="0" applyAlignment="1" applyBorder="1" applyFont="1" applyNumberFormat="1">
      <alignment shrinkToFit="0" vertical="bottom" wrapText="0"/>
    </xf>
    <xf borderId="49" fillId="12" fontId="57" numFmtId="10" xfId="0" applyAlignment="1" applyBorder="1" applyFont="1" applyNumberFormat="1">
      <alignment shrinkToFit="0" vertical="bottom" wrapText="0"/>
    </xf>
    <xf borderId="42" fillId="2" fontId="58" numFmtId="0" xfId="0" applyAlignment="1" applyBorder="1" applyFont="1">
      <alignment horizontal="left" readingOrder="0" shrinkToFit="0" vertical="center" wrapText="0"/>
    </xf>
    <xf borderId="43" fillId="2" fontId="58" numFmtId="0" xfId="0" applyAlignment="1" applyBorder="1" applyFont="1">
      <alignment horizontal="center" readingOrder="0" shrinkToFit="0" vertical="center" wrapText="0"/>
    </xf>
    <xf borderId="44" fillId="2" fontId="58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0">
    <dxf>
      <font/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none"/>
      </fill>
      <border/>
    </dxf>
    <dxf>
      <font>
        <color rgb="FFEA4335"/>
      </font>
      <fill>
        <patternFill patternType="none"/>
      </fill>
      <border/>
    </dxf>
    <dxf>
      <font/>
      <fill>
        <patternFill patternType="none"/>
      </fill>
      <border/>
    </dxf>
    <dxf>
      <font>
        <color theme="5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8C00"/>
          <bgColor rgb="FFFF8C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FF8C00"/>
        </left>
        <right style="thin">
          <color rgb="FFFF8C00"/>
        </right>
        <top style="thin">
          <color rgb="FFFF8C00"/>
        </top>
        <bottom style="thin">
          <color rgb="FFFF8C00"/>
        </bottom>
      </border>
    </dxf>
  </dxfs>
  <tableStyles count="2">
    <tableStyle count="4" pivot="0" name="Graphs-style">
      <tableStyleElement dxfId="7" type="headerRow"/>
      <tableStyleElement dxfId="8" type="firstRowStripe"/>
      <tableStyleElement dxfId="8" type="secondRowStripe"/>
      <tableStyleElement dxfId="9" size="0" type="wholeTable"/>
    </tableStyle>
    <tableStyle count="4" pivot="0" name="Graphs-style 2">
      <tableStyleElement dxfId="7" type="headerRow"/>
      <tableStyleElement dxfId="8" type="firstRowStripe"/>
      <tableStyleElement dxfId="8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Net wealth projection "do-nothing" versus financial goals</a:t>
            </a:r>
          </a:p>
        </c:rich>
      </c:tx>
      <c:overlay val="0"/>
    </c:title>
    <c:plotArea>
      <c:layout>
        <c:manualLayout>
          <c:xMode val="edge"/>
          <c:yMode val="edge"/>
          <c:x val="0.11310161294972325"/>
          <c:y val="0.21302238805970153"/>
          <c:w val="0.8564325198916052"/>
          <c:h val="0.7085820895522389"/>
        </c:manualLayout>
      </c:layout>
      <c:lineChart>
        <c:ser>
          <c:idx val="0"/>
          <c:order val="0"/>
          <c:tx>
            <c:strRef>
              <c:f>Graphs!$A$41</c:f>
            </c:strRef>
          </c:tx>
          <c:spPr>
            <a:ln cmpd="sng">
              <a:solidFill>
                <a:srgbClr val="C9D8E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Graphs!$B$40:$U$40</c:f>
            </c:strRef>
          </c:cat>
          <c:val>
            <c:numRef>
              <c:f>Graphs!$B$41:$U$41</c:f>
              <c:numCache/>
            </c:numRef>
          </c:val>
          <c:smooth val="0"/>
        </c:ser>
        <c:ser>
          <c:idx val="1"/>
          <c:order val="1"/>
          <c:tx>
            <c:strRef>
              <c:f>Graphs!$A$42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Graphs!$B$40:$U$40</c:f>
            </c:strRef>
          </c:cat>
          <c:val>
            <c:numRef>
              <c:f>Graphs!$B$42:$U$42</c:f>
              <c:numCache/>
            </c:numRef>
          </c:val>
          <c:smooth val="0"/>
        </c:ser>
        <c:axId val="37893505"/>
        <c:axId val="1061313997"/>
      </c:lineChart>
      <c:catAx>
        <c:axId val="37893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313997"/>
      </c:catAx>
      <c:valAx>
        <c:axId val="1061313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93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DF5E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Net income increase from "no brainer" levers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Graphs!$B$72</c:f>
            </c:strRef>
          </c:tx>
          <c:spPr>
            <a:solidFill>
              <a:srgbClr val="6FA8DC">
                <a:alpha val="30000"/>
              </a:srgbClr>
            </a:solidFill>
            <a:ln cmpd="sng">
              <a:solidFill>
                <a:srgbClr val="6FA8DC">
                  <a:alpha val="100000"/>
                </a:srgbClr>
              </a:solidFill>
            </a:ln>
          </c:spPr>
          <c:cat>
            <c:strRef>
              <c:f>Graphs!$C$71:$AL$71</c:f>
            </c:strRef>
          </c:cat>
          <c:val>
            <c:numRef>
              <c:f>Graphs!$C$72:$AL$72</c:f>
              <c:numCache/>
            </c:numRef>
          </c:val>
        </c:ser>
        <c:ser>
          <c:idx val="1"/>
          <c:order val="1"/>
          <c:tx>
            <c:strRef>
              <c:f>Graphs!$B$73</c:f>
            </c:strRef>
          </c:tx>
          <c:spPr>
            <a:solidFill>
              <a:srgbClr val="3C78D8">
                <a:alpha val="30000"/>
              </a:srgbClr>
            </a:solidFill>
            <a:ln cmpd="sng">
              <a:solidFill>
                <a:srgbClr val="3C78D8">
                  <a:alpha val="100000"/>
                </a:srgbClr>
              </a:solidFill>
            </a:ln>
          </c:spPr>
          <c:cat>
            <c:strRef>
              <c:f>Graphs!$C$71:$AL$71</c:f>
            </c:strRef>
          </c:cat>
          <c:val>
            <c:numRef>
              <c:f>Graphs!$C$73:$AL$73</c:f>
              <c:numCache/>
            </c:numRef>
          </c:val>
        </c:ser>
        <c:axId val="758392792"/>
        <c:axId val="535006635"/>
      </c:areaChart>
      <c:catAx>
        <c:axId val="758392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535006635"/>
      </c:catAx>
      <c:valAx>
        <c:axId val="535006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392792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sans-serif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sans-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DF5E6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Net wealth projection "do-nothing" versus levers A &amp; C</a:t>
            </a:r>
          </a:p>
        </c:rich>
      </c:tx>
      <c:overlay val="0"/>
    </c:title>
    <c:plotArea>
      <c:layout>
        <c:manualLayout>
          <c:xMode val="edge"/>
          <c:yMode val="edge"/>
          <c:x val="0.11310161294972325"/>
          <c:y val="0.21302238805970153"/>
          <c:w val="0.8564325198916052"/>
          <c:h val="0.7085820895522389"/>
        </c:manualLayout>
      </c:layout>
      <c:lineChart>
        <c:ser>
          <c:idx val="0"/>
          <c:order val="0"/>
          <c:tx>
            <c:strRef>
              <c:f>Graphs!$A$102</c:f>
            </c:strRef>
          </c:tx>
          <c:spPr>
            <a:ln cmpd="sng">
              <a:solidFill>
                <a:srgbClr val="C9D8E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Graphs!$B$101:$U$101</c:f>
            </c:strRef>
          </c:cat>
          <c:val>
            <c:numRef>
              <c:f>Graphs!$B$102:$U$102</c:f>
              <c:numCache/>
            </c:numRef>
          </c:val>
          <c:smooth val="0"/>
        </c:ser>
        <c:ser>
          <c:idx val="1"/>
          <c:order val="1"/>
          <c:tx>
            <c:strRef>
              <c:f>Graphs!$A$103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Graphs!$B$101:$U$101</c:f>
            </c:strRef>
          </c:cat>
          <c:val>
            <c:numRef>
              <c:f>Graphs!$B$103:$U$103</c:f>
              <c:numCache/>
            </c:numRef>
          </c:val>
          <c:smooth val="0"/>
        </c:ser>
        <c:axId val="556256119"/>
        <c:axId val="571029539"/>
      </c:lineChart>
      <c:catAx>
        <c:axId val="556256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029539"/>
      </c:catAx>
      <c:valAx>
        <c:axId val="571029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256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DF5E6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9</xdr:row>
      <xdr:rowOff>114300</xdr:rowOff>
    </xdr:from>
    <xdr:ext cx="6886575" cy="4838700"/>
    <xdr:pic>
      <xdr:nvPicPr>
        <xdr:cNvPr id="12149053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45</xdr:row>
      <xdr:rowOff>38100</xdr:rowOff>
    </xdr:from>
    <xdr:ext cx="7267575" cy="4257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476250</xdr:colOff>
      <xdr:row>76</xdr:row>
      <xdr:rowOff>47625</xdr:rowOff>
    </xdr:from>
    <xdr:ext cx="68865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476250</xdr:colOff>
      <xdr:row>104</xdr:row>
      <xdr:rowOff>104775</xdr:rowOff>
    </xdr:from>
    <xdr:ext cx="6886575" cy="4257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31:G138" displayName="Table1" name="Table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Graph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142:G149" displayName="Table2" name="Table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Graph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urufocus.com/economic_indicators/150/sp-500-dividend-yield" TargetMode="External"/><Relationship Id="rId10" Type="http://schemas.openxmlformats.org/officeDocument/2006/relationships/hyperlink" Target="https://www.investopedia.com/ask/answers/042415/what-average-annual-return-sp-500.asp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gov.uk/income-tax-rate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uswitch.com/mortgages/uk-mortgage-rates-today/" TargetMode="External"/><Relationship Id="rId3" Type="http://schemas.openxmlformats.org/officeDocument/2006/relationships/hyperlink" Target="https://www.ons.gov.uk/economy/inflationandpriceindices/bulletins/privaterentandhousepricesuk/june2025" TargetMode="External"/><Relationship Id="rId4" Type="http://schemas.openxmlformats.org/officeDocument/2006/relationships/hyperlink" Target="https://www.rpagroupllc.com/news/uk-market-report-april-2025" TargetMode="External"/><Relationship Id="rId9" Type="http://schemas.openxmlformats.org/officeDocument/2006/relationships/hyperlink" Target="https://www.digrin.com/stocks/detail/URTH/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www.capitaleconomics.com/uk/lower-gdp-growth-and-cpi-inflation-most-expect-lead-more-interest-rate-cuts" TargetMode="External"/><Relationship Id="rId6" Type="http://schemas.openxmlformats.org/officeDocument/2006/relationships/hyperlink" Target="https://www.pensionbee.com/uk/press/another-strong-year-in-2025" TargetMode="External"/><Relationship Id="rId7" Type="http://schemas.openxmlformats.org/officeDocument/2006/relationships/hyperlink" Target="https://www.gov.uk/national-minimum-wage-rates" TargetMode="External"/><Relationship Id="rId8" Type="http://schemas.openxmlformats.org/officeDocument/2006/relationships/hyperlink" Target="https://curvo.eu/backtest/en/market-index/msci-world?currency=gb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nerdwallet.com/uk/mortgages/mortgage-rates/" TargetMode="External"/><Relationship Id="rId3" Type="http://schemas.openxmlformats.org/officeDocument/2006/relationships/hyperlink" Target="https://www.nerdwallet.com/uk/mortgages/house-prices/" TargetMode="External"/><Relationship Id="rId4" Type="http://schemas.openxmlformats.org/officeDocument/2006/relationships/hyperlink" Target="https://www.sourcegroupinternational.com/news/UK-Tech-Salaries-2025/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pensionbee.com/uk/press/another-strong-year-in-2025" TargetMode="External"/><Relationship Id="rId6" Type="http://schemas.openxmlformats.org/officeDocument/2006/relationships/hyperlink" Target="https://www.gov.uk/national-minimum-wage-rates" TargetMode="External"/><Relationship Id="rId7" Type="http://schemas.openxmlformats.org/officeDocument/2006/relationships/hyperlink" Target="https://www.moneyhelper.org.uk/en/pensions-and-retirement/tax-and-pensions/lump-sum-allowances-for-pensions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1" t="s">
        <v>60</v>
      </c>
      <c r="C2" s="2" t="s">
        <v>61</v>
      </c>
      <c r="D2" s="2">
        <v>2.0</v>
      </c>
      <c r="E2" s="1"/>
      <c r="F2" s="3">
        <v>34.0</v>
      </c>
      <c r="G2" s="4"/>
      <c r="H2" s="1" t="s">
        <v>62</v>
      </c>
      <c r="I2" s="1" t="s">
        <v>62</v>
      </c>
      <c r="J2" s="1" t="s">
        <v>63</v>
      </c>
      <c r="K2" s="1" t="s">
        <v>64</v>
      </c>
      <c r="L2" s="1" t="s">
        <v>65</v>
      </c>
      <c r="N2" s="1" t="s">
        <v>66</v>
      </c>
      <c r="O2" s="3">
        <v>9000.0</v>
      </c>
      <c r="P2" s="1" t="s">
        <v>67</v>
      </c>
      <c r="Q2" s="3">
        <v>817.0</v>
      </c>
      <c r="R2" s="3">
        <v>350.0</v>
      </c>
      <c r="S2" s="3">
        <v>200.0</v>
      </c>
      <c r="T2" s="3">
        <v>25.0</v>
      </c>
      <c r="U2" s="3">
        <v>900.0</v>
      </c>
      <c r="V2" s="3">
        <v>250.0</v>
      </c>
      <c r="W2" s="3">
        <v>0.0</v>
      </c>
      <c r="X2" s="1" t="s">
        <v>68</v>
      </c>
      <c r="Y2" s="1" t="s">
        <v>69</v>
      </c>
      <c r="Z2" s="1" t="s">
        <v>70</v>
      </c>
      <c r="AA2" s="1" t="s">
        <v>71</v>
      </c>
      <c r="AB2" s="1" t="s">
        <v>70</v>
      </c>
      <c r="AC2" s="1" t="s">
        <v>72</v>
      </c>
      <c r="AD2" s="1" t="s">
        <v>70</v>
      </c>
      <c r="AE2" s="1" t="s">
        <v>73</v>
      </c>
      <c r="AF2" s="1" t="s">
        <v>70</v>
      </c>
      <c r="AG2" s="5"/>
      <c r="AH2" s="6"/>
      <c r="AI2" s="1" t="s">
        <v>74</v>
      </c>
      <c r="AJ2" s="5" t="b">
        <v>0</v>
      </c>
      <c r="AK2" s="1" t="s">
        <v>74</v>
      </c>
      <c r="AL2" s="4"/>
      <c r="AM2" s="4"/>
      <c r="AN2" s="4"/>
      <c r="AO2" s="1" t="s">
        <v>68</v>
      </c>
      <c r="AP2" s="1" t="s">
        <v>74</v>
      </c>
      <c r="AQ2" s="3">
        <v>108000.0</v>
      </c>
      <c r="AR2" s="3">
        <v>9000.0</v>
      </c>
      <c r="AS2" s="6"/>
      <c r="AT2" s="3">
        <v>0.0</v>
      </c>
      <c r="AU2" s="3">
        <v>6458.0</v>
      </c>
      <c r="AV2" s="1" t="s">
        <v>75</v>
      </c>
      <c r="AW2" s="3">
        <v>817.0</v>
      </c>
      <c r="AX2" s="3">
        <v>350.0</v>
      </c>
      <c r="AY2" s="3">
        <v>200.0</v>
      </c>
      <c r="AZ2" s="3">
        <v>25.0</v>
      </c>
      <c r="BA2" s="3">
        <v>900.0</v>
      </c>
      <c r="BB2" s="3">
        <v>250.0</v>
      </c>
      <c r="BC2" s="3">
        <v>0.0</v>
      </c>
      <c r="BD2" s="4"/>
      <c r="BE2" s="1" t="s">
        <v>76</v>
      </c>
      <c r="BF2" s="1" t="s">
        <v>77</v>
      </c>
      <c r="BG2" s="1" t="s">
        <v>74</v>
      </c>
      <c r="BH2" s="3">
        <v>0.0</v>
      </c>
    </row>
  </sheetData>
  <mergeCells count="2">
    <mergeCell ref="A2:B2"/>
    <mergeCell ref="L2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63"/>
    <col customWidth="1" min="3" max="3" width="34.75"/>
    <col customWidth="1" min="8" max="8" width="22.13"/>
    <col customWidth="1" min="10" max="10" width="31.25"/>
    <col customWidth="1" min="11" max="11" width="21.75"/>
    <col customWidth="1" min="14" max="14" width="22.75"/>
  </cols>
  <sheetData>
    <row r="1">
      <c r="A1" s="7" t="s">
        <v>78</v>
      </c>
      <c r="B1" s="7" t="s">
        <v>79</v>
      </c>
      <c r="C1" s="7" t="s">
        <v>80</v>
      </c>
      <c r="D1" s="8" t="s">
        <v>81</v>
      </c>
      <c r="E1" s="8">
        <v>1.0</v>
      </c>
      <c r="F1" s="9" t="s">
        <v>82</v>
      </c>
      <c r="W1" s="8" t="s">
        <v>83</v>
      </c>
    </row>
    <row r="2">
      <c r="A2" s="8" t="s">
        <v>84</v>
      </c>
      <c r="B2" s="8" t="s">
        <v>85</v>
      </c>
      <c r="C2" s="8" t="s">
        <v>86</v>
      </c>
      <c r="D2" s="8" t="s">
        <v>87</v>
      </c>
      <c r="E2" s="8" t="s">
        <v>88</v>
      </c>
      <c r="F2" s="10" t="str">
        <f t="array" ref="F2:F6">UNIQUE(Data!A2:A1000)</f>
        <v>Short-Term</v>
      </c>
      <c r="G2" s="8" t="s">
        <v>89</v>
      </c>
      <c r="H2" s="10" t="str">
        <f t="array" ref="H2:H10">UNIQUE(Data!B2:B1000)</f>
        <v>Career &amp; Education</v>
      </c>
      <c r="I2" s="8" t="s">
        <v>90</v>
      </c>
      <c r="J2" s="10" t="str">
        <f>IFERROR(__xludf.DUMMYFUNCTION("SORT(UNIQUE(FILTER(Data!C2:C1000, (Data!B2:B1000 = 'Input Data'!B11))))"),"Buying a Car")</f>
        <v>Buying a Car</v>
      </c>
      <c r="K2" s="8" t="s">
        <v>88</v>
      </c>
      <c r="L2" s="10" t="str">
        <f t="array" ref="L2:L6">UNIQUE(Data!A2:A1000)</f>
        <v>Short-Term</v>
      </c>
      <c r="M2" s="8" t="s">
        <v>89</v>
      </c>
      <c r="N2" s="10" t="str">
        <f t="array" ref="N2:N10">UNIQUE(Data!B2:B1000)</f>
        <v>Career &amp; Education</v>
      </c>
      <c r="O2" s="8" t="s">
        <v>90</v>
      </c>
      <c r="P2" s="10" t="str">
        <f>IFERROR(__xludf.DUMMYFUNCTION("SORT(UNIQUE(FILTER(Data!C2:C1000, (Data!B2:B1000 = 'Input Data'!B13))))"),"Building an Investment Portfolio")</f>
        <v>Building an Investment Portfolio</v>
      </c>
      <c r="Q2" s="8" t="s">
        <v>88</v>
      </c>
      <c r="R2" s="10" t="str">
        <f t="array" ref="R2:R6">UNIQUE(Data!A2:A1000)</f>
        <v>Short-Term</v>
      </c>
      <c r="S2" s="8" t="s">
        <v>89</v>
      </c>
      <c r="T2" s="10" t="str">
        <f t="array" ref="T2:T10">UNIQUE(Data!B2:B1000)</f>
        <v>Career &amp; Education</v>
      </c>
      <c r="U2" s="8" t="s">
        <v>90</v>
      </c>
      <c r="V2" s="10" t="str">
        <f>IFERROR(__xludf.DUMMYFUNCTION("SORT(UNIQUE(FILTER(Data!C2:C1000, (Data!B2:B1000 = 'Input Data'!B12))))"),"Building a Safety Net")</f>
        <v>Building a Safety Net</v>
      </c>
    </row>
    <row r="3">
      <c r="A3" s="8" t="s">
        <v>91</v>
      </c>
      <c r="B3" s="8" t="s">
        <v>85</v>
      </c>
      <c r="C3" s="8" t="s">
        <v>92</v>
      </c>
      <c r="D3" s="8" t="s">
        <v>87</v>
      </c>
      <c r="F3" s="10" t="s">
        <v>91</v>
      </c>
      <c r="H3" s="10" t="s">
        <v>93</v>
      </c>
      <c r="J3" s="10" t="str">
        <f>IFERROR(__xludf.DUMMYFUNCTION("""COMPUTED_VALUE"""),"Buying a Property")</f>
        <v>Buying a Property</v>
      </c>
      <c r="L3" s="10" t="s">
        <v>91</v>
      </c>
      <c r="N3" s="10" t="s">
        <v>93</v>
      </c>
      <c r="P3" s="10" t="str">
        <f>IFERROR(__xludf.DUMMYFUNCTION("""COMPUTED_VALUE"""),"Financial Independence (FIRE goals)")</f>
        <v>Financial Independence (FIRE goals)</v>
      </c>
      <c r="R3" s="10" t="s">
        <v>91</v>
      </c>
      <c r="T3" s="10" t="s">
        <v>93</v>
      </c>
      <c r="V3" s="10" t="str">
        <f>IFERROR(__xludf.DUMMYFUNCTION("""COMPUTED_VALUE"""),"Paying off Loan")</f>
        <v>Paying off Loan</v>
      </c>
    </row>
    <row r="4">
      <c r="A4" s="8" t="s">
        <v>94</v>
      </c>
      <c r="B4" s="8" t="s">
        <v>85</v>
      </c>
      <c r="C4" s="8" t="s">
        <v>95</v>
      </c>
      <c r="D4" s="8" t="s">
        <v>87</v>
      </c>
      <c r="F4" s="10" t="s">
        <v>94</v>
      </c>
      <c r="H4" s="10" t="s">
        <v>96</v>
      </c>
      <c r="J4" s="10" t="str">
        <f>IFERROR(__xludf.DUMMYFUNCTION("""COMPUTED_VALUE"""),"Furniture or Home Decor")</f>
        <v>Furniture or Home Decor</v>
      </c>
      <c r="L4" s="10" t="s">
        <v>94</v>
      </c>
      <c r="N4" s="10" t="s">
        <v>96</v>
      </c>
      <c r="P4" s="10" t="str">
        <f>IFERROR(__xludf.DUMMYFUNCTION("""COMPUTED_VALUE"""),"Pension Top-Up Plan")</f>
        <v>Pension Top-Up Plan</v>
      </c>
      <c r="R4" s="10" t="s">
        <v>94</v>
      </c>
      <c r="T4" s="10" t="s">
        <v>96</v>
      </c>
      <c r="V4" s="10" t="str">
        <f>IFERROR(__xludf.DUMMYFUNCTION("""COMPUTED_VALUE"""),"Saving for a Career Break or Sabbatical")</f>
        <v>Saving for a Career Break or Sabbatical</v>
      </c>
    </row>
    <row r="5">
      <c r="A5" s="8" t="s">
        <v>97</v>
      </c>
      <c r="B5" s="8" t="s">
        <v>85</v>
      </c>
      <c r="C5" s="8" t="s">
        <v>98</v>
      </c>
      <c r="D5" s="8" t="s">
        <v>87</v>
      </c>
      <c r="F5" s="10" t="s">
        <v>97</v>
      </c>
      <c r="H5" s="10" t="s">
        <v>99</v>
      </c>
      <c r="J5" s="10" t="str">
        <f>IFERROR(__xludf.DUMMYFUNCTION("""COMPUTED_VALUE"""),"Paying Off Mortgage Early")</f>
        <v>Paying Off Mortgage Early</v>
      </c>
      <c r="L5" s="10" t="s">
        <v>97</v>
      </c>
      <c r="N5" s="10" t="s">
        <v>99</v>
      </c>
      <c r="P5" s="10" t="str">
        <f>IFERROR(__xludf.DUMMYFUNCTION("""COMPUTED_VALUE"""),"Retirement Savings")</f>
        <v>Retirement Savings</v>
      </c>
      <c r="R5" s="10" t="s">
        <v>97</v>
      </c>
      <c r="T5" s="10" t="s">
        <v>99</v>
      </c>
    </row>
    <row r="6">
      <c r="B6" s="8" t="s">
        <v>85</v>
      </c>
      <c r="C6" s="8" t="s">
        <v>100</v>
      </c>
      <c r="D6" s="8" t="s">
        <v>87</v>
      </c>
      <c r="F6" s="10"/>
      <c r="H6" s="10" t="s">
        <v>101</v>
      </c>
      <c r="J6" s="10" t="str">
        <f>IFERROR(__xludf.DUMMYFUNCTION("""COMPUTED_VALUE"""),"Saving for a House Deposit")</f>
        <v>Saving for a House Deposit</v>
      </c>
      <c r="L6" s="10"/>
      <c r="N6" s="10" t="s">
        <v>101</v>
      </c>
      <c r="R6" s="10"/>
      <c r="T6" s="10" t="s">
        <v>101</v>
      </c>
    </row>
    <row r="7">
      <c r="B7" s="8" t="s">
        <v>85</v>
      </c>
      <c r="C7" s="8" t="s">
        <v>102</v>
      </c>
      <c r="D7" s="8" t="s">
        <v>87</v>
      </c>
      <c r="H7" s="10" t="s">
        <v>103</v>
      </c>
      <c r="N7" s="10" t="s">
        <v>103</v>
      </c>
      <c r="T7" s="10" t="s">
        <v>103</v>
      </c>
    </row>
    <row r="8">
      <c r="B8" s="8" t="s">
        <v>85</v>
      </c>
      <c r="C8" s="8" t="s">
        <v>104</v>
      </c>
      <c r="D8" s="8" t="s">
        <v>87</v>
      </c>
      <c r="H8" s="10" t="s">
        <v>97</v>
      </c>
      <c r="N8" s="10" t="s">
        <v>97</v>
      </c>
      <c r="T8" s="10" t="s">
        <v>97</v>
      </c>
    </row>
    <row r="9">
      <c r="B9" s="8" t="s">
        <v>93</v>
      </c>
      <c r="C9" s="8" t="s">
        <v>105</v>
      </c>
      <c r="D9" s="8" t="s">
        <v>87</v>
      </c>
      <c r="H9" s="10" t="s">
        <v>106</v>
      </c>
      <c r="N9" s="10" t="s">
        <v>106</v>
      </c>
      <c r="T9" s="10" t="s">
        <v>106</v>
      </c>
    </row>
    <row r="10">
      <c r="B10" s="8" t="s">
        <v>93</v>
      </c>
      <c r="C10" s="8" t="s">
        <v>107</v>
      </c>
      <c r="D10" s="8" t="s">
        <v>87</v>
      </c>
      <c r="H10" s="10"/>
      <c r="N10" s="10"/>
      <c r="T10" s="10"/>
    </row>
    <row r="11">
      <c r="B11" s="8" t="s">
        <v>93</v>
      </c>
      <c r="C11" s="8" t="s">
        <v>108</v>
      </c>
    </row>
    <row r="12">
      <c r="B12" s="8" t="s">
        <v>93</v>
      </c>
      <c r="C12" s="8" t="s">
        <v>109</v>
      </c>
    </row>
    <row r="13">
      <c r="B13" s="8" t="s">
        <v>93</v>
      </c>
      <c r="C13" s="8" t="s">
        <v>110</v>
      </c>
    </row>
    <row r="14">
      <c r="B14" s="8" t="s">
        <v>93</v>
      </c>
      <c r="C14" s="8" t="s">
        <v>111</v>
      </c>
      <c r="D14" s="8" t="s">
        <v>87</v>
      </c>
    </row>
    <row r="15">
      <c r="B15" s="8" t="s">
        <v>96</v>
      </c>
      <c r="C15" s="8" t="s">
        <v>112</v>
      </c>
    </row>
    <row r="16">
      <c r="B16" s="8" t="s">
        <v>96</v>
      </c>
      <c r="C16" s="8" t="s">
        <v>113</v>
      </c>
    </row>
    <row r="17">
      <c r="B17" s="8" t="s">
        <v>96</v>
      </c>
      <c r="C17" s="8" t="s">
        <v>114</v>
      </c>
    </row>
    <row r="18">
      <c r="B18" s="8" t="s">
        <v>96</v>
      </c>
      <c r="C18" s="8" t="s">
        <v>115</v>
      </c>
    </row>
    <row r="19">
      <c r="B19" s="8" t="s">
        <v>96</v>
      </c>
      <c r="C19" s="8" t="s">
        <v>116</v>
      </c>
    </row>
    <row r="20">
      <c r="B20" s="8" t="s">
        <v>96</v>
      </c>
      <c r="C20" s="8" t="s">
        <v>117</v>
      </c>
    </row>
    <row r="21">
      <c r="B21" s="8" t="s">
        <v>96</v>
      </c>
      <c r="C21" s="8" t="s">
        <v>118</v>
      </c>
    </row>
    <row r="22">
      <c r="B22" s="8" t="s">
        <v>96</v>
      </c>
      <c r="C22" s="8" t="s">
        <v>119</v>
      </c>
    </row>
    <row r="23">
      <c r="B23" s="8" t="s">
        <v>99</v>
      </c>
      <c r="C23" s="8" t="s">
        <v>120</v>
      </c>
    </row>
    <row r="24">
      <c r="B24" s="8" t="s">
        <v>99</v>
      </c>
      <c r="C24" s="8" t="s">
        <v>121</v>
      </c>
    </row>
    <row r="25">
      <c r="B25" s="8" t="s">
        <v>99</v>
      </c>
      <c r="C25" s="8" t="s">
        <v>122</v>
      </c>
    </row>
    <row r="26">
      <c r="B26" s="8" t="s">
        <v>101</v>
      </c>
      <c r="C26" s="8" t="s">
        <v>123</v>
      </c>
    </row>
    <row r="27">
      <c r="B27" s="8" t="s">
        <v>101</v>
      </c>
      <c r="C27" s="8" t="s">
        <v>124</v>
      </c>
    </row>
    <row r="28">
      <c r="B28" s="8" t="s">
        <v>101</v>
      </c>
      <c r="C28" s="8" t="s">
        <v>125</v>
      </c>
    </row>
    <row r="29">
      <c r="B29" s="8" t="s">
        <v>101</v>
      </c>
      <c r="C29" s="8" t="s">
        <v>126</v>
      </c>
    </row>
    <row r="30">
      <c r="B30" s="8" t="s">
        <v>101</v>
      </c>
      <c r="C30" s="8" t="s">
        <v>127</v>
      </c>
    </row>
    <row r="31">
      <c r="B31" s="8" t="s">
        <v>101</v>
      </c>
      <c r="C31" s="8" t="s">
        <v>128</v>
      </c>
    </row>
    <row r="32">
      <c r="B32" s="8" t="s">
        <v>103</v>
      </c>
      <c r="C32" s="8" t="s">
        <v>129</v>
      </c>
    </row>
    <row r="33">
      <c r="B33" s="8" t="s">
        <v>97</v>
      </c>
      <c r="C33" s="8" t="s">
        <v>97</v>
      </c>
    </row>
    <row r="34">
      <c r="B34" s="8" t="s">
        <v>103</v>
      </c>
      <c r="C34" s="8" t="s">
        <v>130</v>
      </c>
    </row>
    <row r="35">
      <c r="B35" s="8" t="s">
        <v>103</v>
      </c>
      <c r="C35" s="8" t="s">
        <v>131</v>
      </c>
    </row>
    <row r="36">
      <c r="B36" s="8" t="s">
        <v>103</v>
      </c>
      <c r="C36" s="8" t="s">
        <v>132</v>
      </c>
    </row>
    <row r="37">
      <c r="B37" s="8" t="s">
        <v>103</v>
      </c>
      <c r="C37" s="8" t="s">
        <v>133</v>
      </c>
    </row>
    <row r="38">
      <c r="B38" s="8" t="s">
        <v>106</v>
      </c>
      <c r="C38" s="8" t="s">
        <v>134</v>
      </c>
    </row>
    <row r="39">
      <c r="B39" s="8" t="s">
        <v>106</v>
      </c>
      <c r="C39" s="8" t="s">
        <v>135</v>
      </c>
    </row>
    <row r="40">
      <c r="B40" s="8" t="s">
        <v>106</v>
      </c>
      <c r="C40" s="8" t="s">
        <v>136</v>
      </c>
    </row>
    <row r="41">
      <c r="B41" s="8" t="s">
        <v>106</v>
      </c>
      <c r="C41" s="8" t="s">
        <v>137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63"/>
    <col customWidth="1" min="2" max="2" width="33.0"/>
    <col customWidth="1" min="3" max="3" width="41.38"/>
    <col customWidth="1" min="4" max="4" width="21.5"/>
    <col customWidth="1" min="5" max="5" width="29.5"/>
    <col customWidth="1" min="6" max="6" width="24.25"/>
    <col customWidth="1" min="7" max="7" width="16.88"/>
    <col customWidth="1" min="8" max="8" width="10.63"/>
    <col customWidth="1" min="9" max="9" width="25.5"/>
    <col customWidth="1" min="10" max="10" width="23.88"/>
    <col customWidth="1" min="11" max="11" width="26.38"/>
    <col customWidth="1" min="12" max="12" width="26.0"/>
    <col customWidth="1" min="13" max="13" width="24.25"/>
    <col customWidth="1" min="14" max="14" width="25.88"/>
  </cols>
  <sheetData>
    <row r="1">
      <c r="A1" s="11" t="s">
        <v>138</v>
      </c>
      <c r="B1" s="12"/>
      <c r="C1" s="12"/>
      <c r="D1" s="12"/>
      <c r="E1" s="13"/>
      <c r="F1" s="13"/>
      <c r="G1" s="13"/>
      <c r="H1" s="12"/>
      <c r="I1" s="12"/>
      <c r="J1" s="12"/>
      <c r="K1" s="13"/>
      <c r="L1" s="13"/>
      <c r="M1" s="12"/>
      <c r="N1" s="12"/>
    </row>
    <row r="2">
      <c r="A2" s="14" t="s">
        <v>139</v>
      </c>
      <c r="B2" s="15">
        <f>if(questionnaire_responses_rows!F2 &gt;1000,questionnaire_responses_rows!F2,-(questionnaire_responses_rows!F2-year(today())))</f>
        <v>1991</v>
      </c>
      <c r="C2" s="12">
        <f>B2+70</f>
        <v>2061</v>
      </c>
      <c r="D2" s="12">
        <f>C2-2025</f>
        <v>36</v>
      </c>
      <c r="E2" s="13"/>
      <c r="F2" s="13"/>
      <c r="G2" s="13"/>
      <c r="H2" s="12"/>
      <c r="I2" s="12"/>
      <c r="J2" s="12"/>
      <c r="K2" s="13"/>
      <c r="L2" s="13"/>
      <c r="M2" s="12"/>
      <c r="N2" s="12"/>
    </row>
    <row r="3">
      <c r="A3" s="14" t="s">
        <v>140</v>
      </c>
      <c r="B3" s="15">
        <f>if(questionnaire_responses_rows!F2 &lt;1000,questionnaire_responses_rows!F2,year(today())-questionnaire_responses_rows!F2)</f>
        <v>34</v>
      </c>
      <c r="C3" s="12"/>
      <c r="D3" s="12"/>
      <c r="E3" s="13"/>
      <c r="F3" s="13"/>
      <c r="G3" s="13"/>
      <c r="H3" s="12"/>
      <c r="I3" s="12"/>
      <c r="J3" s="12"/>
      <c r="K3" s="13"/>
      <c r="N3" s="12"/>
    </row>
    <row r="4">
      <c r="A4" s="14" t="s">
        <v>141</v>
      </c>
      <c r="B4" s="15" t="str">
        <f>questionnaire_responses_rows!L2</f>
        <v>live-with-family</v>
      </c>
      <c r="C4" s="12"/>
      <c r="D4" s="12"/>
      <c r="E4" s="13"/>
      <c r="F4" s="13"/>
      <c r="G4" s="13"/>
      <c r="H4" s="12"/>
      <c r="I4" s="12"/>
      <c r="J4" s="12"/>
      <c r="K4" s="13"/>
      <c r="N4" s="12"/>
    </row>
    <row r="5">
      <c r="A5" s="14" t="s">
        <v>142</v>
      </c>
      <c r="B5" s="15" t="str">
        <f>questionnaire_responses_rows!AO2</f>
        <v>no</v>
      </c>
      <c r="C5" s="12"/>
      <c r="D5" s="16"/>
      <c r="E5" s="13"/>
      <c r="F5" s="13"/>
      <c r="G5" s="13"/>
      <c r="H5" s="12"/>
      <c r="I5" s="12"/>
      <c r="J5" s="12"/>
      <c r="K5" s="13"/>
      <c r="N5" s="12"/>
    </row>
    <row r="6">
      <c r="A6" s="14" t="s">
        <v>143</v>
      </c>
      <c r="B6" s="15" t="str">
        <f>questionnaire_responses_rows!N2</f>
        <v>unemployed</v>
      </c>
      <c r="C6" s="12"/>
      <c r="D6" s="12"/>
      <c r="E6" s="13"/>
      <c r="F6" s="13"/>
      <c r="G6" s="13"/>
      <c r="H6" s="12"/>
      <c r="I6" s="12"/>
      <c r="J6" s="12"/>
      <c r="K6" s="13"/>
      <c r="N6" s="12"/>
    </row>
    <row r="7">
      <c r="A7" s="14" t="s">
        <v>144</v>
      </c>
      <c r="B7" s="15" t="str">
        <f>questionnaire_responses_rows!K2</f>
        <v>undergraduate</v>
      </c>
      <c r="C7" s="12"/>
      <c r="D7" s="12"/>
      <c r="E7" s="13"/>
      <c r="F7" s="13"/>
      <c r="G7" s="13"/>
      <c r="H7" s="12"/>
      <c r="I7" s="12"/>
      <c r="J7" s="12"/>
      <c r="K7" s="13"/>
      <c r="N7" s="12"/>
    </row>
    <row r="8">
      <c r="A8" s="17"/>
      <c r="B8" s="12"/>
      <c r="C8" s="12"/>
      <c r="D8" s="12"/>
      <c r="E8" s="13"/>
      <c r="F8" s="13"/>
      <c r="G8" s="13"/>
      <c r="H8" s="12"/>
      <c r="I8" s="12"/>
      <c r="J8" s="12"/>
      <c r="K8" s="13"/>
      <c r="N8" s="12"/>
    </row>
    <row r="9">
      <c r="A9" s="11" t="s">
        <v>145</v>
      </c>
      <c r="E9" s="13"/>
      <c r="F9" s="13"/>
      <c r="G9" s="13"/>
      <c r="H9" s="12"/>
      <c r="I9" s="12"/>
      <c r="J9" s="12"/>
      <c r="K9" s="13"/>
      <c r="L9" s="13"/>
      <c r="M9" s="12"/>
      <c r="N9" s="12"/>
    </row>
    <row r="10">
      <c r="A10" s="18" t="s">
        <v>146</v>
      </c>
      <c r="B10" s="18" t="s">
        <v>79</v>
      </c>
      <c r="C10" s="18" t="s">
        <v>80</v>
      </c>
      <c r="D10" s="18" t="s">
        <v>147</v>
      </c>
      <c r="E10" s="19" t="s">
        <v>148</v>
      </c>
      <c r="F10" s="18" t="s">
        <v>149</v>
      </c>
      <c r="G10" s="20" t="s">
        <v>150</v>
      </c>
      <c r="H10" s="21"/>
      <c r="I10" s="19" t="s">
        <v>151</v>
      </c>
      <c r="J10" s="19" t="s">
        <v>152</v>
      </c>
      <c r="K10" s="19" t="s">
        <v>153</v>
      </c>
      <c r="L10" s="12"/>
      <c r="M10" s="12"/>
    </row>
    <row r="11">
      <c r="A11" s="22" t="s">
        <v>91</v>
      </c>
      <c r="B11" s="22" t="s">
        <v>103</v>
      </c>
      <c r="C11" s="22" t="s">
        <v>131</v>
      </c>
      <c r="D11" s="23">
        <v>46023.0</v>
      </c>
      <c r="E11" s="24">
        <v>600000.0</v>
      </c>
      <c r="F11" s="25" t="s">
        <v>154</v>
      </c>
      <c r="G11" s="26">
        <v>25.0</v>
      </c>
      <c r="H11" s="27" t="s">
        <v>155</v>
      </c>
      <c r="I11" s="24">
        <v>0.0</v>
      </c>
      <c r="J11" s="28" t="s">
        <v>156</v>
      </c>
      <c r="K11" s="24"/>
      <c r="L11" s="12"/>
    </row>
    <row r="12">
      <c r="A12" s="22" t="s">
        <v>84</v>
      </c>
      <c r="B12" s="22" t="s">
        <v>99</v>
      </c>
      <c r="C12" s="22" t="s">
        <v>122</v>
      </c>
      <c r="D12" s="23">
        <v>46022.0</v>
      </c>
      <c r="E12" s="24">
        <v>15800.0</v>
      </c>
      <c r="F12" s="25" t="s">
        <v>154</v>
      </c>
      <c r="G12" s="26">
        <v>6.0</v>
      </c>
      <c r="H12" s="29" t="s">
        <v>157</v>
      </c>
      <c r="I12" s="24">
        <v>0.0</v>
      </c>
      <c r="J12" s="28" t="s">
        <v>156</v>
      </c>
      <c r="K12" s="24"/>
      <c r="L12" s="12"/>
    </row>
    <row r="13">
      <c r="A13" s="22" t="s">
        <v>94</v>
      </c>
      <c r="B13" s="22" t="s">
        <v>106</v>
      </c>
      <c r="C13" s="22" t="s">
        <v>134</v>
      </c>
      <c r="D13" s="23">
        <v>58987.0</v>
      </c>
      <c r="E13" s="24">
        <v>50000.0</v>
      </c>
      <c r="F13" s="25" t="s">
        <v>158</v>
      </c>
      <c r="G13" s="26">
        <v>36.0</v>
      </c>
      <c r="H13" s="27" t="s">
        <v>155</v>
      </c>
      <c r="I13" s="24">
        <v>0.0</v>
      </c>
      <c r="J13" s="28" t="s">
        <v>159</v>
      </c>
      <c r="K13" s="24"/>
      <c r="L13" s="12"/>
    </row>
    <row r="14">
      <c r="C14" s="12"/>
      <c r="D14" s="12"/>
      <c r="E14" s="13"/>
      <c r="F14" s="13"/>
      <c r="G14" s="13"/>
      <c r="H14" s="12"/>
      <c r="K14" s="13"/>
      <c r="L14" s="13"/>
      <c r="M14" s="12"/>
      <c r="N14" s="12"/>
    </row>
    <row r="15">
      <c r="G15" s="13"/>
      <c r="H15" s="12"/>
      <c r="K15" s="13"/>
      <c r="L15" s="13"/>
      <c r="M15" s="12"/>
      <c r="N15" s="12"/>
    </row>
    <row r="16">
      <c r="A16" s="11" t="s">
        <v>160</v>
      </c>
      <c r="F16" s="13"/>
      <c r="G16" s="13"/>
      <c r="H16" s="12"/>
      <c r="I16" s="11" t="s">
        <v>161</v>
      </c>
      <c r="K16" s="13"/>
      <c r="L16" s="13"/>
      <c r="M16" s="12"/>
      <c r="N16" s="12"/>
    </row>
    <row r="17">
      <c r="A17" s="30"/>
      <c r="F17" s="13"/>
      <c r="G17" s="13"/>
      <c r="H17" s="12"/>
      <c r="I17" s="17"/>
      <c r="J17" s="12"/>
      <c r="K17" s="13"/>
      <c r="L17" s="13"/>
      <c r="M17" s="12"/>
      <c r="N17" s="12"/>
    </row>
    <row r="18">
      <c r="A18" s="31" t="s">
        <v>162</v>
      </c>
      <c r="F18" s="13"/>
      <c r="G18" s="13"/>
      <c r="H18" s="12"/>
      <c r="I18" s="17" t="s">
        <v>163</v>
      </c>
      <c r="J18" s="12"/>
      <c r="K18" s="13"/>
      <c r="L18" s="13"/>
      <c r="M18" s="12"/>
      <c r="N18" s="12"/>
    </row>
    <row r="19">
      <c r="A19" s="30"/>
      <c r="F19" s="13"/>
      <c r="G19" s="13"/>
      <c r="H19" s="12"/>
      <c r="I19" s="12"/>
      <c r="J19" s="12"/>
      <c r="K19" s="13"/>
      <c r="L19" s="13"/>
      <c r="M19" s="12"/>
      <c r="N19" s="12"/>
    </row>
    <row r="20">
      <c r="A20" s="19" t="s">
        <v>164</v>
      </c>
      <c r="B20" s="19" t="s">
        <v>165</v>
      </c>
      <c r="C20" s="32" t="s">
        <v>166</v>
      </c>
      <c r="D20" s="32" t="s">
        <v>167</v>
      </c>
      <c r="E20" s="32" t="s">
        <v>168</v>
      </c>
      <c r="F20" s="13"/>
      <c r="G20" s="13"/>
      <c r="H20" s="12"/>
      <c r="I20" s="12"/>
      <c r="J20" s="12"/>
      <c r="K20" s="13"/>
      <c r="L20" s="13"/>
      <c r="M20" s="12"/>
      <c r="N20" s="12"/>
    </row>
    <row r="21">
      <c r="A21" s="33" t="s">
        <v>169</v>
      </c>
      <c r="B21" s="33" t="s">
        <v>154</v>
      </c>
      <c r="C21" s="34">
        <f>questionnaire_responses_rows!AQ2</f>
        <v>108000</v>
      </c>
      <c r="D21" s="35">
        <f>questionnaire_responses_rows!AR2</f>
        <v>9000</v>
      </c>
      <c r="E21" s="36">
        <f>D21*12</f>
        <v>108000</v>
      </c>
      <c r="F21" s="13"/>
      <c r="G21" s="13"/>
      <c r="H21" s="12"/>
      <c r="I21" s="19" t="s">
        <v>170</v>
      </c>
      <c r="J21" s="19" t="s">
        <v>171</v>
      </c>
      <c r="K21" s="19" t="s">
        <v>172</v>
      </c>
      <c r="L21" s="19" t="s">
        <v>173</v>
      </c>
      <c r="M21" s="19" t="s">
        <v>174</v>
      </c>
      <c r="N21" s="19" t="s">
        <v>174</v>
      </c>
    </row>
    <row r="22">
      <c r="A22" s="37" t="s">
        <v>175</v>
      </c>
      <c r="B22" s="37" t="s">
        <v>176</v>
      </c>
      <c r="C22" s="37">
        <v>0.0</v>
      </c>
      <c r="D22" s="38">
        <f t="shared" ref="D22:E22" si="1">sum(D21)</f>
        <v>9000</v>
      </c>
      <c r="E22" s="38">
        <f t="shared" si="1"/>
        <v>108000</v>
      </c>
      <c r="F22" s="13"/>
      <c r="G22" s="13"/>
      <c r="H22" s="12"/>
      <c r="I22" s="33" t="s">
        <v>177</v>
      </c>
      <c r="J22" s="39" t="str">
        <f>PARSEJSONDATA(questionnaire_responses_rows!Y2)</f>
        <v/>
      </c>
      <c r="K22" s="40" t="s">
        <v>178</v>
      </c>
      <c r="L22" s="41" t="s">
        <v>178</v>
      </c>
      <c r="M22" s="42"/>
      <c r="N22" s="42"/>
    </row>
    <row r="23">
      <c r="A23" s="43" t="s">
        <v>179</v>
      </c>
      <c r="B23" s="44"/>
      <c r="C23" s="44"/>
      <c r="F23" s="13"/>
      <c r="G23" s="13"/>
      <c r="H23" s="12" t="s">
        <v>178</v>
      </c>
      <c r="I23" s="33" t="s">
        <v>180</v>
      </c>
      <c r="J23" s="39"/>
      <c r="K23" s="40"/>
      <c r="L23" s="45"/>
      <c r="M23" s="46"/>
      <c r="N23" s="46"/>
    </row>
    <row r="24">
      <c r="I24" s="33" t="s">
        <v>181</v>
      </c>
      <c r="J24" s="47"/>
      <c r="K24" s="40"/>
      <c r="L24" s="45"/>
      <c r="M24" s="46"/>
      <c r="N24" s="46"/>
    </row>
    <row r="25">
      <c r="I25" s="33" t="s">
        <v>182</v>
      </c>
      <c r="J25" s="47"/>
      <c r="K25" s="40"/>
      <c r="L25" s="46"/>
      <c r="M25" s="46"/>
      <c r="N25" s="46"/>
    </row>
    <row r="26">
      <c r="I26" s="33" t="s">
        <v>183</v>
      </c>
      <c r="J26" s="47"/>
      <c r="K26" s="48"/>
      <c r="L26" s="46"/>
      <c r="M26" s="46"/>
      <c r="N26" s="46"/>
    </row>
    <row r="27">
      <c r="A27" s="31" t="s">
        <v>184</v>
      </c>
      <c r="I27" s="49" t="s">
        <v>185</v>
      </c>
      <c r="J27" s="50"/>
      <c r="K27" s="51">
        <f>SUM(K22:K26)</f>
        <v>0</v>
      </c>
      <c r="L27" s="52" t="str">
        <f>SUMPRODUCT(K22:K26,L22:L26)/SUM($K22:$K26)
</f>
        <v>#DIV/0!</v>
      </c>
      <c r="M27" s="52" t="str">
        <f t="shared" ref="M27:N27" si="2">SUMPRODUCT($K22:$K26,M22:M26)/SUM($K22:$K26)
</f>
        <v>#DIV/0!</v>
      </c>
      <c r="N27" s="52" t="str">
        <f t="shared" si="2"/>
        <v>#DIV/0!</v>
      </c>
    </row>
    <row r="28">
      <c r="E28" s="53" t="s">
        <v>186</v>
      </c>
    </row>
    <row r="29">
      <c r="A29" s="54" t="str">
        <f>questionnaire_responses_rows!J2</f>
        <v>own-mortgage</v>
      </c>
      <c r="B29" s="19" t="s">
        <v>154</v>
      </c>
      <c r="C29" s="32" t="s">
        <v>187</v>
      </c>
      <c r="E29" s="19" t="s">
        <v>140</v>
      </c>
      <c r="F29" s="19" t="s">
        <v>188</v>
      </c>
      <c r="G29" s="19" t="s">
        <v>189</v>
      </c>
      <c r="I29" s="53" t="s">
        <v>190</v>
      </c>
    </row>
    <row r="30">
      <c r="A30" s="55" t="str">
        <f>IF(ISNUMBER(SEARCH("mortgage", questionnaire_responses_rows!J2)), "Mortgage", "Rent")</f>
        <v>Mortgage</v>
      </c>
      <c r="B30" s="34">
        <f>questionnaire_responses_rows!Q2</f>
        <v>817</v>
      </c>
      <c r="C30" s="56">
        <f t="shared" ref="C30:C37" si="3">B30*12</f>
        <v>9804</v>
      </c>
      <c r="E30" s="45" t="str">
        <f>PARSEJSONDATA(questionnaire_responses_rows!AP2)</f>
        <v>#ERROR!</v>
      </c>
      <c r="F30" s="45"/>
      <c r="G30" s="34"/>
      <c r="I30" s="19" t="s">
        <v>171</v>
      </c>
      <c r="J30" s="19" t="s">
        <v>172</v>
      </c>
      <c r="K30" s="19" t="s">
        <v>170</v>
      </c>
      <c r="L30" s="19" t="s">
        <v>191</v>
      </c>
      <c r="M30" s="19" t="s">
        <v>192</v>
      </c>
      <c r="N30" s="19" t="s">
        <v>174</v>
      </c>
    </row>
    <row r="31">
      <c r="A31" s="55" t="s">
        <v>193</v>
      </c>
      <c r="B31" s="34">
        <f>questionnaire_responses_rows!R2</f>
        <v>350</v>
      </c>
      <c r="C31" s="56">
        <f t="shared" si="3"/>
        <v>4200</v>
      </c>
      <c r="E31" s="45"/>
      <c r="F31" s="45"/>
      <c r="G31" s="34"/>
      <c r="I31" s="39" t="str">
        <f>PARSEJSONDATA(questionnaire_responses_rows!AC2)</f>
        <v>Charles Stanley</v>
      </c>
      <c r="J31" s="40">
        <v>111104.0</v>
      </c>
      <c r="K31" s="40" t="s">
        <v>194</v>
      </c>
      <c r="L31" s="40" t="s">
        <v>178</v>
      </c>
      <c r="M31" s="45">
        <v>1.49</v>
      </c>
      <c r="N31" s="42" t="s">
        <v>178</v>
      </c>
      <c r="O31" s="10"/>
    </row>
    <row r="32">
      <c r="A32" s="55" t="s">
        <v>195</v>
      </c>
      <c r="B32" s="34">
        <f>questionnaire_responses_rows!S2</f>
        <v>200</v>
      </c>
      <c r="C32" s="56">
        <f t="shared" si="3"/>
        <v>2400</v>
      </c>
      <c r="E32" s="45"/>
      <c r="F32" s="46"/>
      <c r="G32" s="45"/>
      <c r="I32" s="39"/>
      <c r="J32" s="57"/>
      <c r="K32" s="40"/>
      <c r="L32" s="40"/>
      <c r="M32" s="58"/>
      <c r="N32" s="46"/>
    </row>
    <row r="33">
      <c r="A33" s="55" t="s">
        <v>196</v>
      </c>
      <c r="B33" s="34">
        <f>questionnaire_responses_rows!T2</f>
        <v>25</v>
      </c>
      <c r="C33" s="56">
        <f t="shared" si="3"/>
        <v>300</v>
      </c>
      <c r="E33" s="45"/>
      <c r="F33" s="46"/>
      <c r="G33" s="45"/>
      <c r="I33" s="39"/>
      <c r="J33" s="57"/>
      <c r="K33" s="40"/>
      <c r="L33" s="40"/>
      <c r="M33" s="58"/>
      <c r="N33" s="46"/>
    </row>
    <row r="34">
      <c r="A34" s="55" t="s">
        <v>197</v>
      </c>
      <c r="B34" s="34">
        <f>questionnaire_responses_rows!U2</f>
        <v>900</v>
      </c>
      <c r="C34" s="56">
        <f t="shared" si="3"/>
        <v>10800</v>
      </c>
      <c r="I34" s="39"/>
      <c r="J34" s="57"/>
      <c r="K34" s="40"/>
      <c r="L34" s="40"/>
      <c r="M34" s="58"/>
      <c r="N34" s="46"/>
    </row>
    <row r="35">
      <c r="A35" s="59" t="s">
        <v>198</v>
      </c>
      <c r="B35" s="34">
        <f>questionnaire_responses_rows!V2</f>
        <v>250</v>
      </c>
      <c r="C35" s="56">
        <f t="shared" si="3"/>
        <v>3000</v>
      </c>
      <c r="I35" s="49" t="s">
        <v>185</v>
      </c>
      <c r="J35" s="51">
        <f>SUM(J28:J34)</f>
        <v>111104</v>
      </c>
      <c r="K35" s="60"/>
      <c r="L35" s="51">
        <f>SUM(L30:L34)</f>
        <v>0</v>
      </c>
      <c r="M35" s="61"/>
      <c r="N35" s="50"/>
    </row>
    <row r="36">
      <c r="A36" s="55" t="s">
        <v>199</v>
      </c>
      <c r="B36" s="34">
        <f>questionnaire_responses_rows!W2</f>
        <v>0</v>
      </c>
      <c r="C36" s="56">
        <f t="shared" si="3"/>
        <v>0</v>
      </c>
    </row>
    <row r="37">
      <c r="A37" s="43" t="s">
        <v>200</v>
      </c>
      <c r="B37" s="38">
        <f>sum(B30:B36)</f>
        <v>2542</v>
      </c>
      <c r="C37" s="38">
        <f t="shared" si="3"/>
        <v>30504</v>
      </c>
      <c r="E37" s="11" t="s">
        <v>201</v>
      </c>
      <c r="F37" s="12"/>
      <c r="I37" s="53" t="s">
        <v>202</v>
      </c>
    </row>
    <row r="38">
      <c r="E38" s="62" t="s">
        <v>203</v>
      </c>
      <c r="F38" s="62" t="s">
        <v>204</v>
      </c>
      <c r="I38" s="19" t="s">
        <v>170</v>
      </c>
      <c r="J38" s="19" t="s">
        <v>171</v>
      </c>
      <c r="K38" s="19" t="s">
        <v>172</v>
      </c>
      <c r="L38" s="19" t="s">
        <v>191</v>
      </c>
      <c r="M38" s="19" t="s">
        <v>192</v>
      </c>
      <c r="N38" s="19" t="s">
        <v>174</v>
      </c>
    </row>
    <row r="39">
      <c r="E39" s="63" t="s">
        <v>205</v>
      </c>
      <c r="F39" s="64" t="s">
        <v>206</v>
      </c>
      <c r="I39" s="39" t="str">
        <f>PARSEJSONDATA(questionnaire_responses_rows!AE2)</f>
        <v>workplace</v>
      </c>
      <c r="J39" s="39" t="s">
        <v>207</v>
      </c>
      <c r="K39" s="40">
        <v>53755.57</v>
      </c>
      <c r="L39" s="40">
        <v>0.0</v>
      </c>
      <c r="M39" s="42"/>
      <c r="N39" s="42" t="s">
        <v>178</v>
      </c>
    </row>
    <row r="40">
      <c r="A40" s="30"/>
      <c r="E40" s="63" t="s">
        <v>208</v>
      </c>
      <c r="F40" s="64" t="s">
        <v>209</v>
      </c>
      <c r="I40" s="39" t="s">
        <v>210</v>
      </c>
      <c r="J40" s="39" t="s">
        <v>207</v>
      </c>
      <c r="K40" s="40">
        <v>57674.1</v>
      </c>
      <c r="L40" s="40" t="s">
        <v>178</v>
      </c>
      <c r="M40" s="46"/>
      <c r="N40" s="46"/>
    </row>
    <row r="41">
      <c r="A41" s="30"/>
      <c r="E41" s="63" t="s">
        <v>211</v>
      </c>
      <c r="F41" s="64" t="s">
        <v>212</v>
      </c>
      <c r="I41" s="39"/>
      <c r="J41" s="39"/>
      <c r="K41" s="40"/>
      <c r="L41" s="40"/>
      <c r="M41" s="46"/>
      <c r="N41" s="46"/>
    </row>
    <row r="42">
      <c r="A42" s="30"/>
      <c r="I42" s="39"/>
      <c r="J42" s="39"/>
      <c r="K42" s="40"/>
      <c r="L42" s="40"/>
      <c r="M42" s="46"/>
      <c r="N42" s="46"/>
    </row>
    <row r="43">
      <c r="A43" s="44"/>
      <c r="B43" s="19" t="s">
        <v>154</v>
      </c>
      <c r="C43" s="32" t="s">
        <v>187</v>
      </c>
      <c r="I43" s="49" t="s">
        <v>185</v>
      </c>
      <c r="J43" s="50"/>
      <c r="K43" s="51">
        <f>SUM(K36:K42)</f>
        <v>111429.67</v>
      </c>
      <c r="L43" s="51">
        <f>SUM(L38:L42)</f>
        <v>0</v>
      </c>
      <c r="M43" s="50"/>
      <c r="N43" s="50"/>
    </row>
    <row r="44">
      <c r="A44" s="43" t="s">
        <v>213</v>
      </c>
      <c r="B44" s="38">
        <f>D22-B37</f>
        <v>6458</v>
      </c>
      <c r="C44" s="38">
        <f>B44*12</f>
        <v>77496</v>
      </c>
    </row>
    <row r="45">
      <c r="I45" s="53" t="s">
        <v>214</v>
      </c>
    </row>
    <row r="46">
      <c r="E46" s="11" t="s">
        <v>215</v>
      </c>
      <c r="I46" s="19" t="s">
        <v>216</v>
      </c>
      <c r="J46" s="19" t="s">
        <v>171</v>
      </c>
      <c r="K46" s="19" t="s">
        <v>217</v>
      </c>
      <c r="L46" s="19" t="s">
        <v>218</v>
      </c>
      <c r="M46" s="19" t="s">
        <v>219</v>
      </c>
      <c r="N46" s="19" t="s">
        <v>220</v>
      </c>
    </row>
    <row r="47">
      <c r="A47" s="53" t="s">
        <v>221</v>
      </c>
      <c r="E47" s="62" t="s">
        <v>222</v>
      </c>
      <c r="F47" s="62" t="s">
        <v>223</v>
      </c>
      <c r="G47" s="62" t="s">
        <v>224</v>
      </c>
      <c r="I47" s="39" t="str">
        <f>PARSEJSONDATA(questionnaire_responses_rows!AA2)</f>
        <v>mortgage</v>
      </c>
      <c r="J47" s="39" t="s">
        <v>225</v>
      </c>
      <c r="K47" s="65" t="s">
        <v>178</v>
      </c>
      <c r="L47" s="66">
        <v>1.46</v>
      </c>
      <c r="M47" s="40">
        <v>2220.87</v>
      </c>
      <c r="N47" s="40">
        <v>346257.0</v>
      </c>
    </row>
    <row r="48">
      <c r="A48" s="67"/>
      <c r="E48" s="63" t="s">
        <v>226</v>
      </c>
      <c r="F48" s="68">
        <v>1200000.0</v>
      </c>
      <c r="G48" s="63" t="s">
        <v>227</v>
      </c>
      <c r="I48" s="39"/>
      <c r="J48" s="39"/>
      <c r="K48" s="39"/>
      <c r="L48" s="48"/>
      <c r="M48" s="48"/>
      <c r="N48" s="47"/>
    </row>
    <row r="49">
      <c r="A49" s="69" t="str">
        <f>questionnaire_responses_rows!M2</f>
        <v/>
      </c>
      <c r="B49" s="70"/>
      <c r="C49" s="71"/>
      <c r="E49" s="63" t="s">
        <v>228</v>
      </c>
      <c r="F49" s="72">
        <v>0.0424</v>
      </c>
      <c r="G49" s="73" t="s">
        <v>229</v>
      </c>
      <c r="I49" s="39"/>
      <c r="J49" s="39"/>
      <c r="K49" s="39"/>
      <c r="L49" s="48"/>
      <c r="M49" s="48"/>
      <c r="N49" s="47"/>
    </row>
    <row r="50">
      <c r="A50" s="74" t="str">
        <f> "Tax Efficiency: "&amp;questionnaire_responses_rows!AG2</f>
        <v>Tax Efficiency: </v>
      </c>
      <c r="C50" s="75"/>
      <c r="E50" s="63" t="s">
        <v>230</v>
      </c>
      <c r="F50" s="68"/>
      <c r="G50" s="63"/>
      <c r="I50" s="39"/>
      <c r="J50" s="39"/>
      <c r="K50" s="39"/>
      <c r="L50" s="48"/>
      <c r="M50" s="48"/>
      <c r="N50" s="47"/>
    </row>
    <row r="51">
      <c r="A51" s="74"/>
      <c r="C51" s="75"/>
      <c r="E51" s="63" t="s">
        <v>231</v>
      </c>
      <c r="F51" s="76">
        <v>0.0</v>
      </c>
      <c r="G51" s="63"/>
      <c r="I51" s="39"/>
      <c r="J51" s="39"/>
      <c r="K51" s="39"/>
      <c r="L51" s="48"/>
      <c r="M51" s="48"/>
      <c r="N51" s="47"/>
    </row>
    <row r="52">
      <c r="A52" s="74" t="str">
        <f> "Other Income Sources: "&amp;questionnaire_responses_rows!P2</f>
        <v>Other Income Sources: None</v>
      </c>
      <c r="C52" s="75"/>
      <c r="E52" s="63" t="s">
        <v>232</v>
      </c>
      <c r="F52" s="72">
        <v>0.033</v>
      </c>
      <c r="G52" s="73" t="s">
        <v>233</v>
      </c>
      <c r="I52" s="49" t="s">
        <v>185</v>
      </c>
      <c r="J52" s="60"/>
      <c r="K52" s="60"/>
      <c r="L52" s="77">
        <f>SUMPRODUCT($N46:$N50,L46:L50)/SUM($N46:$N50)
</f>
        <v>1.46</v>
      </c>
      <c r="M52" s="51">
        <f>SUM(M46:M50)</f>
        <v>2220.87</v>
      </c>
      <c r="N52" s="51">
        <f>SUM(N44:N50)</f>
        <v>346257</v>
      </c>
    </row>
    <row r="53">
      <c r="A53" s="78"/>
      <c r="B53" s="79"/>
      <c r="C53" s="80"/>
      <c r="E53" s="63" t="s">
        <v>234</v>
      </c>
      <c r="F53" s="72">
        <v>0.6</v>
      </c>
      <c r="G53" s="63" t="s">
        <v>235</v>
      </c>
    </row>
    <row r="54">
      <c r="A54" s="81"/>
      <c r="E54" s="63" t="s">
        <v>236</v>
      </c>
      <c r="F54" s="68">
        <f>-Round(PV((4.54%/12),F51,F50,F48),-5)</f>
        <v>1200000</v>
      </c>
      <c r="G54" s="63" t="s">
        <v>237</v>
      </c>
    </row>
    <row r="55">
      <c r="A55" s="67"/>
      <c r="E55" s="63" t="s">
        <v>238</v>
      </c>
      <c r="F55" s="68">
        <v>1200000.0</v>
      </c>
      <c r="G55" s="63"/>
    </row>
    <row r="56">
      <c r="A56" s="67"/>
      <c r="E56" s="63" t="s">
        <v>239</v>
      </c>
      <c r="F56" s="82">
        <f>-FV((F52/12),F51,0,F55)</f>
        <v>1200000</v>
      </c>
      <c r="G56" s="63"/>
      <c r="I56" s="43" t="s">
        <v>240</v>
      </c>
      <c r="J56" s="83">
        <f>K27+J35+K43</f>
        <v>222533.67</v>
      </c>
    </row>
    <row r="57">
      <c r="A57" s="67" t="s">
        <v>241</v>
      </c>
    </row>
    <row r="58">
      <c r="A58" s="30"/>
      <c r="I58" s="43" t="s">
        <v>242</v>
      </c>
      <c r="J58" s="83">
        <f>N52</f>
        <v>346257</v>
      </c>
    </row>
    <row r="59">
      <c r="A59" s="53" t="s">
        <v>243</v>
      </c>
    </row>
    <row r="60">
      <c r="A60" s="84"/>
    </row>
    <row r="61">
      <c r="A61" s="30"/>
      <c r="B61" s="85" t="s">
        <v>244</v>
      </c>
      <c r="C61" s="85" t="s">
        <v>245</v>
      </c>
      <c r="D61" s="85" t="s">
        <v>246</v>
      </c>
      <c r="E61" s="85" t="s">
        <v>247</v>
      </c>
    </row>
    <row r="62">
      <c r="A62" s="30"/>
      <c r="B62" s="86" t="s">
        <v>97</v>
      </c>
      <c r="C62" s="87">
        <v>0.0</v>
      </c>
      <c r="D62" s="42">
        <v>0.0</v>
      </c>
      <c r="E62" s="88" t="s">
        <v>248</v>
      </c>
    </row>
    <row r="63">
      <c r="A63" s="30"/>
      <c r="B63" s="86" t="s">
        <v>97</v>
      </c>
      <c r="C63" s="87">
        <v>0.0</v>
      </c>
      <c r="D63" s="42">
        <v>0.0</v>
      </c>
    </row>
    <row r="64">
      <c r="A64" s="30"/>
      <c r="B64" s="86" t="s">
        <v>97</v>
      </c>
      <c r="C64" s="87">
        <v>0.0</v>
      </c>
      <c r="D64" s="42">
        <v>0.0</v>
      </c>
    </row>
    <row r="65">
      <c r="A65" s="53"/>
    </row>
    <row r="66">
      <c r="A66" s="53" t="s">
        <v>249</v>
      </c>
    </row>
    <row r="67">
      <c r="A67" s="30"/>
      <c r="B67" s="30"/>
      <c r="C67" s="30"/>
      <c r="D67" s="30"/>
    </row>
    <row r="68">
      <c r="A68" s="30"/>
      <c r="B68" s="89" t="s">
        <v>250</v>
      </c>
      <c r="C68" s="90" t="s">
        <v>251</v>
      </c>
      <c r="D68" s="90" t="s">
        <v>247</v>
      </c>
    </row>
    <row r="69">
      <c r="A69" s="30"/>
      <c r="B69" s="91" t="s">
        <v>252</v>
      </c>
      <c r="C69" s="92">
        <v>0.035</v>
      </c>
      <c r="D69" s="93" t="s">
        <v>253</v>
      </c>
      <c r="E69" s="94"/>
    </row>
    <row r="70">
      <c r="A70" s="30"/>
      <c r="B70" s="86" t="s">
        <v>254</v>
      </c>
      <c r="C70" s="87">
        <v>0.08</v>
      </c>
      <c r="D70" s="88" t="s">
        <v>255</v>
      </c>
      <c r="E70" s="94"/>
    </row>
    <row r="71">
      <c r="A71" s="30"/>
      <c r="B71" s="86" t="s">
        <v>256</v>
      </c>
      <c r="C71" s="95">
        <f>12.21*52*5*8</f>
        <v>25396.8</v>
      </c>
      <c r="D71" s="88" t="s">
        <v>257</v>
      </c>
      <c r="E71" s="94"/>
    </row>
    <row r="72">
      <c r="A72" s="30"/>
      <c r="B72" s="86" t="s">
        <v>258</v>
      </c>
      <c r="C72" s="87">
        <v>0.25</v>
      </c>
      <c r="D72" s="96"/>
    </row>
    <row r="73">
      <c r="A73" s="30"/>
    </row>
    <row r="74">
      <c r="A74" s="30"/>
      <c r="E74" s="30"/>
    </row>
    <row r="75">
      <c r="A75" s="53" t="s">
        <v>259</v>
      </c>
      <c r="B75" s="30"/>
      <c r="C75" s="30"/>
      <c r="D75" s="30"/>
    </row>
    <row r="76">
      <c r="A76" s="30"/>
      <c r="B76" s="89" t="s">
        <v>260</v>
      </c>
      <c r="C76" s="89" t="s">
        <v>250</v>
      </c>
      <c r="D76" s="90" t="s">
        <v>251</v>
      </c>
      <c r="E76" s="90" t="s">
        <v>247</v>
      </c>
    </row>
    <row r="77">
      <c r="A77" s="30"/>
      <c r="B77" s="97" t="s">
        <v>261</v>
      </c>
      <c r="C77" s="98" t="s">
        <v>262</v>
      </c>
      <c r="D77" s="99">
        <v>0.0717</v>
      </c>
      <c r="E77" s="100" t="s">
        <v>263</v>
      </c>
    </row>
    <row r="78">
      <c r="A78" s="30"/>
      <c r="B78" s="101" t="s">
        <v>261</v>
      </c>
      <c r="C78" s="102" t="s">
        <v>264</v>
      </c>
      <c r="D78" s="103">
        <v>0.0136</v>
      </c>
      <c r="E78" s="104" t="s">
        <v>265</v>
      </c>
    </row>
    <row r="79">
      <c r="A79" s="30"/>
      <c r="B79" s="101" t="s">
        <v>266</v>
      </c>
      <c r="C79" s="86" t="s">
        <v>262</v>
      </c>
      <c r="D79" s="92">
        <v>0.1017</v>
      </c>
      <c r="E79" s="105" t="s">
        <v>267</v>
      </c>
    </row>
    <row r="80">
      <c r="A80" s="30"/>
      <c r="B80" s="106" t="s">
        <v>266</v>
      </c>
      <c r="C80" s="107" t="s">
        <v>264</v>
      </c>
      <c r="D80" s="108">
        <v>0.0173</v>
      </c>
      <c r="E80" s="109" t="s">
        <v>268</v>
      </c>
    </row>
    <row r="81">
      <c r="A81" s="30"/>
    </row>
    <row r="82">
      <c r="A82" s="30"/>
    </row>
    <row r="83">
      <c r="A83" s="30"/>
    </row>
    <row r="84">
      <c r="A84" s="53" t="s">
        <v>269</v>
      </c>
    </row>
    <row r="85">
      <c r="A85" s="110"/>
      <c r="B85" s="110"/>
    </row>
    <row r="86">
      <c r="A86" s="111" t="s">
        <v>247</v>
      </c>
      <c r="B86" s="112" t="s">
        <v>270</v>
      </c>
      <c r="C86" s="9"/>
      <c r="D86" s="9"/>
    </row>
    <row r="87">
      <c r="A87" s="110"/>
      <c r="B87" s="113"/>
      <c r="C87" s="9"/>
      <c r="D87" s="9"/>
    </row>
    <row r="88">
      <c r="B88" s="114" t="s">
        <v>271</v>
      </c>
      <c r="C88" s="115" t="s">
        <v>272</v>
      </c>
      <c r="D88" s="115" t="s">
        <v>273</v>
      </c>
      <c r="E88" s="116" t="s">
        <v>274</v>
      </c>
    </row>
    <row r="89">
      <c r="B89" s="117" t="s">
        <v>275</v>
      </c>
      <c r="C89" s="118">
        <v>0.0</v>
      </c>
      <c r="D89" s="118">
        <v>12750.0</v>
      </c>
      <c r="E89" s="119">
        <v>0.0</v>
      </c>
    </row>
    <row r="90">
      <c r="B90" s="117" t="s">
        <v>276</v>
      </c>
      <c r="C90" s="118">
        <v>12571.0</v>
      </c>
      <c r="D90" s="118">
        <v>50270.0</v>
      </c>
      <c r="E90" s="119">
        <v>0.2</v>
      </c>
    </row>
    <row r="91">
      <c r="B91" s="117" t="s">
        <v>277</v>
      </c>
      <c r="C91" s="118">
        <v>50271.0</v>
      </c>
      <c r="D91" s="118">
        <v>125140.0</v>
      </c>
      <c r="E91" s="119">
        <v>0.4</v>
      </c>
    </row>
    <row r="92">
      <c r="B92" s="117" t="s">
        <v>278</v>
      </c>
      <c r="C92" s="118">
        <v>125141.0</v>
      </c>
      <c r="D92" s="120" t="s">
        <v>176</v>
      </c>
      <c r="E92" s="119">
        <v>0.45</v>
      </c>
    </row>
  </sheetData>
  <autoFilter ref="$I$21:$M$27"/>
  <mergeCells count="1">
    <mergeCell ref="G10:H10"/>
  </mergeCells>
  <conditionalFormatting sqref="J58">
    <cfRule type="cellIs" dxfId="0" priority="1" operator="greaterThan">
      <formula>J56</formula>
    </cfRule>
  </conditionalFormatting>
  <conditionalFormatting sqref="B44:C44">
    <cfRule type="cellIs" dxfId="1" priority="2" operator="lessThan">
      <formula>0</formula>
    </cfRule>
  </conditionalFormatting>
  <dataValidations>
    <dataValidation type="list" allowBlank="1" showErrorMessage="1" sqref="F11:F13">
      <formula1>"One-time,Daily,Weekly,Monthly,Annually,N/A"</formula1>
    </dataValidation>
    <dataValidation type="list" allowBlank="1" showErrorMessage="1" sqref="C11">
      <formula1>Data!$J:$J</formula1>
    </dataValidation>
    <dataValidation type="list" allowBlank="1" sqref="B11">
      <formula1>Data!$H:$H</formula1>
    </dataValidation>
    <dataValidation type="list" allowBlank="1" showErrorMessage="1" sqref="B12">
      <formula1>Data!$T:$T</formula1>
    </dataValidation>
    <dataValidation type="list" allowBlank="1" showErrorMessage="1" sqref="J11:J13">
      <formula1>"High,Medium,Low,N/A"</formula1>
    </dataValidation>
    <dataValidation type="list" allowBlank="1" showErrorMessage="1" sqref="B13">
      <formula1>Data!$N:$N</formula1>
    </dataValidation>
    <dataValidation type="decimal" allowBlank="1" showDropDown="1" showErrorMessage="1" sqref="C62:D64 C69:C70 C72">
      <formula1>0.0</formula1>
      <formula2>1.0</formula2>
    </dataValidation>
    <dataValidation type="list" allowBlank="1" showErrorMessage="1" sqref="A11">
      <formula1>Data!$F$2:$F$1000</formula1>
    </dataValidation>
    <dataValidation type="decimal" operator="greaterThanOrEqual" allowBlank="1" showDropDown="1" showErrorMessage="1" sqref="E11:E13 G11:G13 I11:I13 K11:K13 C71">
      <formula1>0.0</formula1>
    </dataValidation>
    <dataValidation type="list" allowBlank="1" showErrorMessage="1" sqref="A13">
      <formula1>Data!$L:$L</formula1>
    </dataValidation>
    <dataValidation type="date" operator="greaterThanOrEqual" allowBlank="1" showDropDown="1" showInputMessage="1" showErrorMessage="1" prompt="Enter a date on or after 1/1/2025" sqref="D11:D13">
      <formula1>45658.0</formula1>
    </dataValidation>
    <dataValidation type="list" allowBlank="1" showErrorMessage="1" sqref="A12">
      <formula1>Data!$R:$R</formula1>
    </dataValidation>
    <dataValidation type="list" allowBlank="1" showErrorMessage="1" sqref="C13">
      <formula1>Data!$P:$P</formula1>
    </dataValidation>
    <dataValidation type="list" allowBlank="1" showErrorMessage="1" sqref="C12">
      <formula1>Data!$V:$V</formula1>
    </dataValidation>
    <dataValidation type="list" allowBlank="1" showErrorMessage="1" sqref="H11:H13">
      <formula1>"Days,Weeks,Months,Years,N/A"</formula1>
    </dataValidation>
  </dataValidations>
  <hyperlinks>
    <hyperlink r:id="rId2" ref="G49"/>
    <hyperlink r:id="rId3" ref="G52"/>
    <hyperlink r:id="rId4" ref="E62"/>
    <hyperlink r:id="rId5" ref="D69"/>
    <hyperlink r:id="rId6" ref="D70"/>
    <hyperlink r:id="rId7" ref="D71"/>
    <hyperlink r:id="rId8" ref="E77"/>
    <hyperlink r:id="rId9" location=":~:text=New%20to%20Digrin?,past%20three%20years%20is%206.19%25.&amp;text=Dividend%20history%20for%20stock%20URTH,spin%2Doff%20and%20special%20dividends." ref="E78"/>
    <hyperlink r:id="rId10" ref="E79"/>
    <hyperlink r:id="rId11" ref="E80"/>
    <hyperlink r:id="rId12" ref="B86"/>
  </hyperlinks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  <col customWidth="1" min="4" max="4" width="19.5"/>
    <col customWidth="1" min="6" max="6" width="18.63"/>
  </cols>
  <sheetData>
    <row r="1">
      <c r="A1" s="121">
        <v>0.0</v>
      </c>
      <c r="B1" s="122" t="s">
        <v>279</v>
      </c>
    </row>
    <row r="2">
      <c r="B2" s="123"/>
    </row>
    <row r="3">
      <c r="B3" s="124" t="s">
        <v>280</v>
      </c>
      <c r="C3" s="111" t="s">
        <v>281</v>
      </c>
    </row>
    <row r="4">
      <c r="B4" s="125"/>
      <c r="C4" s="111" t="s">
        <v>282</v>
      </c>
    </row>
    <row r="5">
      <c r="B5" s="125"/>
      <c r="C5" s="111"/>
    </row>
    <row r="6">
      <c r="B6" s="125"/>
      <c r="C6" s="111"/>
    </row>
    <row r="7">
      <c r="B7" s="126" t="s">
        <v>283</v>
      </c>
    </row>
    <row r="8"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9">
      <c r="B9" s="128" t="s">
        <v>162</v>
      </c>
      <c r="C9" s="129" t="s">
        <v>284</v>
      </c>
      <c r="D9" s="85" t="s">
        <v>285</v>
      </c>
      <c r="E9" s="130">
        <v>46143.0</v>
      </c>
      <c r="F9" s="130">
        <v>46508.0</v>
      </c>
      <c r="G9" s="130">
        <v>46874.0</v>
      </c>
      <c r="H9" s="130">
        <v>47239.0</v>
      </c>
      <c r="I9" s="130">
        <v>47604.0</v>
      </c>
      <c r="J9" s="130">
        <v>47969.0</v>
      </c>
      <c r="K9" s="130">
        <v>48335.0</v>
      </c>
      <c r="L9" s="130">
        <v>48700.0</v>
      </c>
      <c r="M9" s="130">
        <v>49065.0</v>
      </c>
      <c r="N9" s="130">
        <v>49430.0</v>
      </c>
      <c r="O9" s="130">
        <v>49796.0</v>
      </c>
      <c r="P9" s="130">
        <v>50161.0</v>
      </c>
      <c r="Q9" s="130">
        <v>50526.0</v>
      </c>
      <c r="R9" s="130">
        <v>50891.0</v>
      </c>
      <c r="S9" s="130">
        <v>51257.0</v>
      </c>
      <c r="T9" s="130">
        <v>51622.0</v>
      </c>
      <c r="U9" s="130">
        <v>51987.0</v>
      </c>
      <c r="V9" s="130">
        <v>52352.0</v>
      </c>
      <c r="W9" s="130">
        <v>52718.0</v>
      </c>
      <c r="X9" s="130">
        <v>53083.0</v>
      </c>
      <c r="Y9" s="130">
        <v>53448.0</v>
      </c>
      <c r="Z9" s="130">
        <v>53813.0</v>
      </c>
      <c r="AA9" s="130">
        <v>54179.0</v>
      </c>
      <c r="AB9" s="130">
        <v>54544.0</v>
      </c>
      <c r="AC9" s="130">
        <v>54909.0</v>
      </c>
      <c r="AD9" s="130">
        <v>55274.0</v>
      </c>
      <c r="AE9" s="130">
        <v>55640.0</v>
      </c>
      <c r="AF9" s="130">
        <v>56005.0</v>
      </c>
      <c r="AG9" s="130">
        <v>56370.0</v>
      </c>
      <c r="AH9" s="130">
        <v>56735.0</v>
      </c>
      <c r="AI9" s="130">
        <v>57101.0</v>
      </c>
      <c r="AJ9" s="130">
        <v>57466.0</v>
      </c>
      <c r="AK9" s="130">
        <v>57831.0</v>
      </c>
      <c r="AL9" s="130">
        <v>58196.0</v>
      </c>
      <c r="AM9" s="130">
        <v>58562.0</v>
      </c>
      <c r="AN9" s="130">
        <v>58927.0</v>
      </c>
      <c r="AO9" s="130">
        <v>59292.0</v>
      </c>
      <c r="AP9" s="130">
        <v>59657.0</v>
      </c>
      <c r="AQ9" s="130">
        <v>60023.0</v>
      </c>
      <c r="AR9" s="130">
        <v>60388.0</v>
      </c>
      <c r="AS9" s="130">
        <v>60753.0</v>
      </c>
      <c r="AT9" s="130">
        <v>61118.0</v>
      </c>
      <c r="AU9" s="130">
        <v>61484.0</v>
      </c>
      <c r="AV9" s="130">
        <v>61849.0</v>
      </c>
      <c r="AW9" s="130">
        <v>62214.0</v>
      </c>
      <c r="AX9" s="130">
        <v>62579.0</v>
      </c>
      <c r="AY9" s="130">
        <v>62945.0</v>
      </c>
      <c r="AZ9" s="130">
        <v>63310.0</v>
      </c>
    </row>
    <row r="10">
      <c r="B10" s="131" t="s">
        <v>286</v>
      </c>
      <c r="C10" s="42">
        <v>0.0</v>
      </c>
      <c r="D10" s="34">
        <v>54000.0</v>
      </c>
      <c r="E10" s="40">
        <f>ann_th_salary</f>
        <v>108000</v>
      </c>
      <c r="F10" s="40">
        <f>ann_th_salary</f>
        <v>108000</v>
      </c>
      <c r="G10" s="40">
        <f>ann_th_salary</f>
        <v>108000</v>
      </c>
      <c r="H10" s="40">
        <f>ann_th_salary</f>
        <v>108000</v>
      </c>
      <c r="I10" s="40">
        <f>ann_th_salary</f>
        <v>108000</v>
      </c>
      <c r="J10" s="40">
        <f>ann_th_salary</f>
        <v>108000</v>
      </c>
      <c r="K10" s="40">
        <f>ann_th_salary</f>
        <v>108000</v>
      </c>
      <c r="L10" s="40">
        <f>ann_th_salary</f>
        <v>108000</v>
      </c>
      <c r="M10" s="40">
        <f>ann_th_salary</f>
        <v>108000</v>
      </c>
      <c r="N10" s="40">
        <f>ann_th_salary</f>
        <v>108000</v>
      </c>
      <c r="O10" s="40">
        <f>ann_th_salary</f>
        <v>108000</v>
      </c>
      <c r="P10" s="40">
        <f>ann_th_salary</f>
        <v>108000</v>
      </c>
      <c r="Q10" s="40">
        <f>ann_th_salary</f>
        <v>108000</v>
      </c>
      <c r="R10" s="40">
        <f>ann_th_salary</f>
        <v>108000</v>
      </c>
      <c r="S10" s="40">
        <f>ann_th_salary</f>
        <v>108000</v>
      </c>
      <c r="T10" s="40">
        <f>ann_th_salary</f>
        <v>108000</v>
      </c>
      <c r="U10" s="40">
        <f>ann_th_salary</f>
        <v>108000</v>
      </c>
      <c r="V10" s="40">
        <f>ann_th_salary</f>
        <v>108000</v>
      </c>
      <c r="W10" s="40">
        <f>ann_th_salary</f>
        <v>108000</v>
      </c>
      <c r="X10" s="40">
        <f>ann_th_salary</f>
        <v>108000</v>
      </c>
      <c r="Y10" s="40">
        <f>ann_th_salary</f>
        <v>108000</v>
      </c>
      <c r="Z10" s="40">
        <f>ann_th_salary</f>
        <v>108000</v>
      </c>
      <c r="AA10" s="40">
        <f>ann_th_salary</f>
        <v>108000</v>
      </c>
      <c r="AB10" s="40">
        <f>ann_th_salary</f>
        <v>108000</v>
      </c>
      <c r="AC10" s="40">
        <f>ann_th_salary</f>
        <v>108000</v>
      </c>
      <c r="AD10" s="40">
        <f>ann_th_salary</f>
        <v>108000</v>
      </c>
      <c r="AE10" s="40">
        <f>ann_th_salary</f>
        <v>108000</v>
      </c>
      <c r="AF10" s="40">
        <f>ann_th_salary</f>
        <v>108000</v>
      </c>
      <c r="AG10" s="40">
        <f>ann_th_salary</f>
        <v>108000</v>
      </c>
      <c r="AH10" s="40">
        <f>ann_th_salary</f>
        <v>108000</v>
      </c>
      <c r="AI10" s="40">
        <f>ann_th_salary</f>
        <v>108000</v>
      </c>
      <c r="AJ10" s="40">
        <f>ann_th_salary</f>
        <v>108000</v>
      </c>
      <c r="AK10" s="40">
        <f>ann_th_salary</f>
        <v>108000</v>
      </c>
      <c r="AL10" s="40">
        <f>ann_th_salary</f>
        <v>108000</v>
      </c>
      <c r="AM10" s="40">
        <f>ann_th_salary</f>
        <v>108000</v>
      </c>
      <c r="AN10" s="40">
        <f>ann_th_salary</f>
        <v>108000</v>
      </c>
      <c r="AO10" s="40">
        <f>ann_th_salary</f>
        <v>108000</v>
      </c>
      <c r="AP10" s="40">
        <f>ann_th_salary</f>
        <v>108000</v>
      </c>
      <c r="AQ10" s="40">
        <f>ann_th_salary</f>
        <v>108000</v>
      </c>
      <c r="AR10" s="40">
        <f>ann_th_salary</f>
        <v>108000</v>
      </c>
      <c r="AS10" s="40">
        <f>ann_th_salary</f>
        <v>108000</v>
      </c>
      <c r="AT10" s="40">
        <f>ann_th_salary</f>
        <v>108000</v>
      </c>
      <c r="AU10" s="40">
        <f>ann_th_salary</f>
        <v>108000</v>
      </c>
      <c r="AV10" s="40">
        <f>ann_th_salary</f>
        <v>108000</v>
      </c>
      <c r="AW10" s="40">
        <f>ann_th_salary</f>
        <v>108000</v>
      </c>
      <c r="AX10" s="40">
        <f>ann_th_salary</f>
        <v>108000</v>
      </c>
      <c r="AY10" s="40">
        <f>ann_th_salary</f>
        <v>108000</v>
      </c>
      <c r="AZ10" s="40">
        <f>ann_th_salary</f>
        <v>108000</v>
      </c>
    </row>
    <row r="11">
      <c r="B11" s="131" t="s">
        <v>287</v>
      </c>
      <c r="C11" s="132">
        <v>0.0</v>
      </c>
      <c r="D11" s="56">
        <f t="shared" ref="D11:AZ11" si="1">D33*$C11</f>
        <v>0</v>
      </c>
      <c r="E11" s="56">
        <f t="shared" si="1"/>
        <v>0</v>
      </c>
      <c r="F11" s="56">
        <f t="shared" si="1"/>
        <v>0</v>
      </c>
      <c r="G11" s="56">
        <f t="shared" si="1"/>
        <v>0</v>
      </c>
      <c r="H11" s="56">
        <f t="shared" si="1"/>
        <v>0</v>
      </c>
      <c r="I11" s="56">
        <f t="shared" si="1"/>
        <v>0</v>
      </c>
      <c r="J11" s="56">
        <f t="shared" si="1"/>
        <v>0</v>
      </c>
      <c r="K11" s="56">
        <f t="shared" si="1"/>
        <v>0</v>
      </c>
      <c r="L11" s="56">
        <f t="shared" si="1"/>
        <v>0</v>
      </c>
      <c r="M11" s="56">
        <f t="shared" si="1"/>
        <v>0</v>
      </c>
      <c r="N11" s="56">
        <f t="shared" si="1"/>
        <v>0</v>
      </c>
      <c r="O11" s="56">
        <f t="shared" si="1"/>
        <v>0</v>
      </c>
      <c r="P11" s="56">
        <f t="shared" si="1"/>
        <v>0</v>
      </c>
      <c r="Q11" s="56">
        <f t="shared" si="1"/>
        <v>0</v>
      </c>
      <c r="R11" s="56">
        <f t="shared" si="1"/>
        <v>0</v>
      </c>
      <c r="S11" s="56">
        <f t="shared" si="1"/>
        <v>0</v>
      </c>
      <c r="T11" s="56">
        <f t="shared" si="1"/>
        <v>0</v>
      </c>
      <c r="U11" s="56">
        <f t="shared" si="1"/>
        <v>0</v>
      </c>
      <c r="V11" s="56">
        <f t="shared" si="1"/>
        <v>0</v>
      </c>
      <c r="W11" s="56">
        <f t="shared" si="1"/>
        <v>0</v>
      </c>
      <c r="X11" s="56">
        <f t="shared" si="1"/>
        <v>0</v>
      </c>
      <c r="Y11" s="56">
        <f t="shared" si="1"/>
        <v>0</v>
      </c>
      <c r="Z11" s="56">
        <f t="shared" si="1"/>
        <v>0</v>
      </c>
      <c r="AA11" s="56">
        <f t="shared" si="1"/>
        <v>0</v>
      </c>
      <c r="AB11" s="56">
        <f t="shared" si="1"/>
        <v>0</v>
      </c>
      <c r="AC11" s="56">
        <f t="shared" si="1"/>
        <v>0</v>
      </c>
      <c r="AD11" s="56">
        <f t="shared" si="1"/>
        <v>0</v>
      </c>
      <c r="AE11" s="56">
        <f t="shared" si="1"/>
        <v>0</v>
      </c>
      <c r="AF11" s="56">
        <f t="shared" si="1"/>
        <v>0</v>
      </c>
      <c r="AG11" s="56">
        <f t="shared" si="1"/>
        <v>0</v>
      </c>
      <c r="AH11" s="56">
        <f t="shared" si="1"/>
        <v>0</v>
      </c>
      <c r="AI11" s="56">
        <f t="shared" si="1"/>
        <v>0</v>
      </c>
      <c r="AJ11" s="56">
        <f t="shared" si="1"/>
        <v>0</v>
      </c>
      <c r="AK11" s="56">
        <f t="shared" si="1"/>
        <v>0</v>
      </c>
      <c r="AL11" s="56">
        <f t="shared" si="1"/>
        <v>0</v>
      </c>
      <c r="AM11" s="56">
        <f t="shared" si="1"/>
        <v>0</v>
      </c>
      <c r="AN11" s="56">
        <f t="shared" si="1"/>
        <v>0</v>
      </c>
      <c r="AO11" s="56">
        <f t="shared" si="1"/>
        <v>0</v>
      </c>
      <c r="AP11" s="56">
        <f t="shared" si="1"/>
        <v>0</v>
      </c>
      <c r="AQ11" s="56">
        <f t="shared" si="1"/>
        <v>0</v>
      </c>
      <c r="AR11" s="56">
        <f t="shared" si="1"/>
        <v>0</v>
      </c>
      <c r="AS11" s="56">
        <f t="shared" si="1"/>
        <v>0</v>
      </c>
      <c r="AT11" s="56">
        <f t="shared" si="1"/>
        <v>0</v>
      </c>
      <c r="AU11" s="56">
        <f t="shared" si="1"/>
        <v>0</v>
      </c>
      <c r="AV11" s="56">
        <f t="shared" si="1"/>
        <v>0</v>
      </c>
      <c r="AW11" s="56">
        <f t="shared" si="1"/>
        <v>0</v>
      </c>
      <c r="AX11" s="56">
        <f t="shared" si="1"/>
        <v>0</v>
      </c>
      <c r="AY11" s="56">
        <f t="shared" si="1"/>
        <v>0</v>
      </c>
      <c r="AZ11" s="56">
        <f t="shared" si="1"/>
        <v>0</v>
      </c>
    </row>
    <row r="12">
      <c r="B12" s="131" t="s">
        <v>288</v>
      </c>
      <c r="C12" s="132">
        <v>0.0</v>
      </c>
      <c r="D12" s="56">
        <f>ann_exp+('Input Data'!$M$52*12)</f>
        <v>57154.44</v>
      </c>
      <c r="E12" s="56">
        <f>ann_exp+('Input Data'!$M$52*12)</f>
        <v>57154.44</v>
      </c>
      <c r="F12" s="56">
        <f>ann_exp+('Input Data'!$M$52*12)</f>
        <v>57154.44</v>
      </c>
      <c r="G12" s="56">
        <f>ann_exp+('Input Data'!$M$52*12)</f>
        <v>57154.44</v>
      </c>
      <c r="H12" s="56">
        <f>ann_exp+('Input Data'!$M$52*12)</f>
        <v>57154.44</v>
      </c>
      <c r="I12" s="56">
        <f>ann_exp+('Input Data'!$M$52*12)</f>
        <v>57154.44</v>
      </c>
      <c r="J12" s="56">
        <f>ann_exp+('Input Data'!$M$52*12)</f>
        <v>57154.44</v>
      </c>
      <c r="K12" s="56">
        <f>ann_exp+('Input Data'!$M$52*12)</f>
        <v>57154.44</v>
      </c>
      <c r="L12" s="56">
        <f>ann_exp+('Input Data'!$M$52*12)</f>
        <v>57154.44</v>
      </c>
      <c r="M12" s="56">
        <f>ann_exp+('Input Data'!$M$52*12)</f>
        <v>57154.44</v>
      </c>
      <c r="N12" s="56">
        <f>ann_exp+('Input Data'!$M$52*12)</f>
        <v>57154.44</v>
      </c>
      <c r="O12" s="56">
        <f>ann_exp+('Input Data'!$M$52*12)</f>
        <v>57154.44</v>
      </c>
      <c r="P12" s="56">
        <f>ann_exp+('Input Data'!$M$52*12)</f>
        <v>57154.44</v>
      </c>
      <c r="Q12" s="56">
        <f>ann_exp+('Input Data'!$M$52*12)</f>
        <v>57154.44</v>
      </c>
      <c r="R12" s="56">
        <f>ann_exp+('Input Data'!$M$52*12)</f>
        <v>57154.44</v>
      </c>
      <c r="S12" s="56">
        <f>ann_exp+('Input Data'!$M$52*12)</f>
        <v>57154.44</v>
      </c>
      <c r="T12" s="56">
        <f>ann_exp+('Input Data'!$M$52*12)</f>
        <v>57154.44</v>
      </c>
      <c r="U12" s="56">
        <f>ann_exp+('Input Data'!$M$52*12)</f>
        <v>57154.44</v>
      </c>
      <c r="V12" s="56">
        <f>ann_exp+('Input Data'!$M$52*12)</f>
        <v>57154.44</v>
      </c>
      <c r="W12" s="56">
        <f>ann_exp+('Input Data'!$M$52*12)</f>
        <v>57154.44</v>
      </c>
      <c r="X12" s="56">
        <f>ann_exp+('Input Data'!$M$52*12)</f>
        <v>57154.44</v>
      </c>
      <c r="Y12" s="56">
        <f>ann_exp+('Input Data'!$M$52*12)</f>
        <v>57154.44</v>
      </c>
      <c r="Z12" s="56">
        <f>ann_exp+('Input Data'!$M$52*12)</f>
        <v>57154.44</v>
      </c>
      <c r="AA12" s="56">
        <f>ann_exp+('Input Data'!$M$52*12)</f>
        <v>57154.44</v>
      </c>
      <c r="AB12" s="56">
        <f>ann_exp+('Input Data'!$M$52*12)</f>
        <v>57154.44</v>
      </c>
      <c r="AC12" s="56">
        <f>ann_exp+('Input Data'!$M$52*12)</f>
        <v>57154.44</v>
      </c>
      <c r="AD12" s="56">
        <f>ann_exp+('Input Data'!$M$52*12)</f>
        <v>57154.44</v>
      </c>
      <c r="AE12" s="56">
        <f>ann_exp+('Input Data'!$M$52*12)</f>
        <v>57154.44</v>
      </c>
      <c r="AF12" s="56">
        <f>ann_exp+('Input Data'!$M$52*12)</f>
        <v>57154.44</v>
      </c>
      <c r="AG12" s="56">
        <f>ann_exp+('Input Data'!$M$52*12)</f>
        <v>57154.44</v>
      </c>
      <c r="AH12" s="56">
        <f>ann_exp+('Input Data'!$M$52*12)</f>
        <v>57154.44</v>
      </c>
      <c r="AI12" s="56">
        <f>ann_exp+('Input Data'!$M$52*12)</f>
        <v>57154.44</v>
      </c>
      <c r="AJ12" s="56">
        <f>ann_exp+('Input Data'!$M$52*12)</f>
        <v>57154.44</v>
      </c>
      <c r="AK12" s="56">
        <f>ann_exp+('Input Data'!$M$52*12)</f>
        <v>57154.44</v>
      </c>
      <c r="AL12" s="56">
        <f>ann_exp+('Input Data'!$M$52*12)</f>
        <v>57154.44</v>
      </c>
      <c r="AM12" s="56">
        <f>ann_exp+('Input Data'!$M$52*12)</f>
        <v>57154.44</v>
      </c>
      <c r="AN12" s="56">
        <f>ann_exp+('Input Data'!$M$52*12)</f>
        <v>57154.44</v>
      </c>
      <c r="AO12" s="56">
        <f>ann_exp+('Input Data'!$M$52*12)</f>
        <v>57154.44</v>
      </c>
      <c r="AP12" s="56">
        <f>ann_exp+('Input Data'!$M$52*12)</f>
        <v>57154.44</v>
      </c>
      <c r="AQ12" s="56">
        <f>ann_exp+('Input Data'!$M$52*12)</f>
        <v>57154.44</v>
      </c>
      <c r="AR12" s="56">
        <f>ann_exp+('Input Data'!$M$52*12)</f>
        <v>57154.44</v>
      </c>
      <c r="AS12" s="56">
        <f>ann_exp+('Input Data'!$M$52*12)</f>
        <v>57154.44</v>
      </c>
      <c r="AT12" s="56">
        <f>ann_exp+('Input Data'!$M$52*12)</f>
        <v>57154.44</v>
      </c>
      <c r="AU12" s="56">
        <f>ann_exp+('Input Data'!$M$52*12)</f>
        <v>57154.44</v>
      </c>
      <c r="AV12" s="56">
        <f>ann_exp+('Input Data'!$M$52*12)</f>
        <v>57154.44</v>
      </c>
      <c r="AW12" s="56">
        <f>ann_exp+('Input Data'!$M$52*12)</f>
        <v>57154.44</v>
      </c>
      <c r="AX12" s="56">
        <f>ann_exp+('Input Data'!$M$52*12)</f>
        <v>57154.44</v>
      </c>
      <c r="AY12" s="56">
        <f>ann_exp+('Input Data'!$M$52*12)</f>
        <v>57154.44</v>
      </c>
      <c r="AZ12" s="56">
        <f>ann_exp+('Input Data'!$M$52*12)</f>
        <v>57154.44</v>
      </c>
    </row>
    <row r="13">
      <c r="B13" s="131" t="s">
        <v>289</v>
      </c>
      <c r="C13" s="133"/>
      <c r="D13" s="134">
        <f t="shared" ref="D13:AZ13" si="2">iferror(D12/D10,"N/A")</f>
        <v>1.058415556</v>
      </c>
      <c r="E13" s="134">
        <f t="shared" si="2"/>
        <v>0.5292077778</v>
      </c>
      <c r="F13" s="134">
        <f t="shared" si="2"/>
        <v>0.5292077778</v>
      </c>
      <c r="G13" s="134">
        <f t="shared" si="2"/>
        <v>0.5292077778</v>
      </c>
      <c r="H13" s="134">
        <f t="shared" si="2"/>
        <v>0.5292077778</v>
      </c>
      <c r="I13" s="134">
        <f t="shared" si="2"/>
        <v>0.5292077778</v>
      </c>
      <c r="J13" s="134">
        <f t="shared" si="2"/>
        <v>0.5292077778</v>
      </c>
      <c r="K13" s="134">
        <f t="shared" si="2"/>
        <v>0.5292077778</v>
      </c>
      <c r="L13" s="134">
        <f t="shared" si="2"/>
        <v>0.5292077778</v>
      </c>
      <c r="M13" s="134">
        <f t="shared" si="2"/>
        <v>0.5292077778</v>
      </c>
      <c r="N13" s="134">
        <f t="shared" si="2"/>
        <v>0.5292077778</v>
      </c>
      <c r="O13" s="134">
        <f t="shared" si="2"/>
        <v>0.5292077778</v>
      </c>
      <c r="P13" s="134">
        <f t="shared" si="2"/>
        <v>0.5292077778</v>
      </c>
      <c r="Q13" s="134">
        <f t="shared" si="2"/>
        <v>0.5292077778</v>
      </c>
      <c r="R13" s="134">
        <f t="shared" si="2"/>
        <v>0.5292077778</v>
      </c>
      <c r="S13" s="134">
        <f t="shared" si="2"/>
        <v>0.5292077778</v>
      </c>
      <c r="T13" s="134">
        <f t="shared" si="2"/>
        <v>0.5292077778</v>
      </c>
      <c r="U13" s="134">
        <f t="shared" si="2"/>
        <v>0.5292077778</v>
      </c>
      <c r="V13" s="134">
        <f t="shared" si="2"/>
        <v>0.5292077778</v>
      </c>
      <c r="W13" s="134">
        <f t="shared" si="2"/>
        <v>0.5292077778</v>
      </c>
      <c r="X13" s="134">
        <f t="shared" si="2"/>
        <v>0.5292077778</v>
      </c>
      <c r="Y13" s="134">
        <f t="shared" si="2"/>
        <v>0.5292077778</v>
      </c>
      <c r="Z13" s="134">
        <f t="shared" si="2"/>
        <v>0.5292077778</v>
      </c>
      <c r="AA13" s="134">
        <f t="shared" si="2"/>
        <v>0.5292077778</v>
      </c>
      <c r="AB13" s="134">
        <f t="shared" si="2"/>
        <v>0.5292077778</v>
      </c>
      <c r="AC13" s="134">
        <f t="shared" si="2"/>
        <v>0.5292077778</v>
      </c>
      <c r="AD13" s="134">
        <f t="shared" si="2"/>
        <v>0.5292077778</v>
      </c>
      <c r="AE13" s="134">
        <f t="shared" si="2"/>
        <v>0.5292077778</v>
      </c>
      <c r="AF13" s="134">
        <f t="shared" si="2"/>
        <v>0.5292077778</v>
      </c>
      <c r="AG13" s="134">
        <f t="shared" si="2"/>
        <v>0.5292077778</v>
      </c>
      <c r="AH13" s="134">
        <f t="shared" si="2"/>
        <v>0.5292077778</v>
      </c>
      <c r="AI13" s="134">
        <f t="shared" si="2"/>
        <v>0.5292077778</v>
      </c>
      <c r="AJ13" s="134">
        <f t="shared" si="2"/>
        <v>0.5292077778</v>
      </c>
      <c r="AK13" s="134">
        <f t="shared" si="2"/>
        <v>0.5292077778</v>
      </c>
      <c r="AL13" s="134">
        <f t="shared" si="2"/>
        <v>0.5292077778</v>
      </c>
      <c r="AM13" s="134">
        <f t="shared" si="2"/>
        <v>0.5292077778</v>
      </c>
      <c r="AN13" s="134">
        <f t="shared" si="2"/>
        <v>0.5292077778</v>
      </c>
      <c r="AO13" s="134">
        <f t="shared" si="2"/>
        <v>0.5292077778</v>
      </c>
      <c r="AP13" s="134">
        <f t="shared" si="2"/>
        <v>0.5292077778</v>
      </c>
      <c r="AQ13" s="134">
        <f t="shared" si="2"/>
        <v>0.5292077778</v>
      </c>
      <c r="AR13" s="134">
        <f t="shared" si="2"/>
        <v>0.5292077778</v>
      </c>
      <c r="AS13" s="134">
        <f t="shared" si="2"/>
        <v>0.5292077778</v>
      </c>
      <c r="AT13" s="134">
        <f t="shared" si="2"/>
        <v>0.5292077778</v>
      </c>
      <c r="AU13" s="134">
        <f t="shared" si="2"/>
        <v>0.5292077778</v>
      </c>
      <c r="AV13" s="134">
        <f t="shared" si="2"/>
        <v>0.5292077778</v>
      </c>
      <c r="AW13" s="134">
        <f t="shared" si="2"/>
        <v>0.5292077778</v>
      </c>
      <c r="AX13" s="134">
        <f t="shared" si="2"/>
        <v>0.5292077778</v>
      </c>
      <c r="AY13" s="134">
        <f t="shared" si="2"/>
        <v>0.5292077778</v>
      </c>
      <c r="AZ13" s="134">
        <f t="shared" si="2"/>
        <v>0.5292077778</v>
      </c>
    </row>
    <row r="14">
      <c r="B14" s="135" t="s">
        <v>213</v>
      </c>
      <c r="C14" s="133"/>
      <c r="D14" s="136">
        <f t="shared" ref="D14:AZ14" si="3">sum(D10:D11)-D12</f>
        <v>-3154.44</v>
      </c>
      <c r="E14" s="136">
        <f t="shared" si="3"/>
        <v>50845.56</v>
      </c>
      <c r="F14" s="136">
        <f t="shared" si="3"/>
        <v>50845.56</v>
      </c>
      <c r="G14" s="136">
        <f t="shared" si="3"/>
        <v>50845.56</v>
      </c>
      <c r="H14" s="136">
        <f t="shared" si="3"/>
        <v>50845.56</v>
      </c>
      <c r="I14" s="136">
        <f t="shared" si="3"/>
        <v>50845.56</v>
      </c>
      <c r="J14" s="136">
        <f t="shared" si="3"/>
        <v>50845.56</v>
      </c>
      <c r="K14" s="136">
        <f t="shared" si="3"/>
        <v>50845.56</v>
      </c>
      <c r="L14" s="136">
        <f t="shared" si="3"/>
        <v>50845.56</v>
      </c>
      <c r="M14" s="136">
        <f t="shared" si="3"/>
        <v>50845.56</v>
      </c>
      <c r="N14" s="136">
        <f t="shared" si="3"/>
        <v>50845.56</v>
      </c>
      <c r="O14" s="136">
        <f t="shared" si="3"/>
        <v>50845.56</v>
      </c>
      <c r="P14" s="136">
        <f t="shared" si="3"/>
        <v>50845.56</v>
      </c>
      <c r="Q14" s="136">
        <f t="shared" si="3"/>
        <v>50845.56</v>
      </c>
      <c r="R14" s="136">
        <f t="shared" si="3"/>
        <v>50845.56</v>
      </c>
      <c r="S14" s="136">
        <f t="shared" si="3"/>
        <v>50845.56</v>
      </c>
      <c r="T14" s="136">
        <f t="shared" si="3"/>
        <v>50845.56</v>
      </c>
      <c r="U14" s="136">
        <f t="shared" si="3"/>
        <v>50845.56</v>
      </c>
      <c r="V14" s="136">
        <f t="shared" si="3"/>
        <v>50845.56</v>
      </c>
      <c r="W14" s="136">
        <f t="shared" si="3"/>
        <v>50845.56</v>
      </c>
      <c r="X14" s="136">
        <f t="shared" si="3"/>
        <v>50845.56</v>
      </c>
      <c r="Y14" s="136">
        <f t="shared" si="3"/>
        <v>50845.56</v>
      </c>
      <c r="Z14" s="136">
        <f t="shared" si="3"/>
        <v>50845.56</v>
      </c>
      <c r="AA14" s="136">
        <f t="shared" si="3"/>
        <v>50845.56</v>
      </c>
      <c r="AB14" s="136">
        <f t="shared" si="3"/>
        <v>50845.56</v>
      </c>
      <c r="AC14" s="136">
        <f t="shared" si="3"/>
        <v>50845.56</v>
      </c>
      <c r="AD14" s="136">
        <f t="shared" si="3"/>
        <v>50845.56</v>
      </c>
      <c r="AE14" s="136">
        <f t="shared" si="3"/>
        <v>50845.56</v>
      </c>
      <c r="AF14" s="136">
        <f t="shared" si="3"/>
        <v>50845.56</v>
      </c>
      <c r="AG14" s="136">
        <f t="shared" si="3"/>
        <v>50845.56</v>
      </c>
      <c r="AH14" s="136">
        <f t="shared" si="3"/>
        <v>50845.56</v>
      </c>
      <c r="AI14" s="136">
        <f t="shared" si="3"/>
        <v>50845.56</v>
      </c>
      <c r="AJ14" s="136">
        <f t="shared" si="3"/>
        <v>50845.56</v>
      </c>
      <c r="AK14" s="136">
        <f t="shared" si="3"/>
        <v>50845.56</v>
      </c>
      <c r="AL14" s="136">
        <f t="shared" si="3"/>
        <v>50845.56</v>
      </c>
      <c r="AM14" s="136">
        <f t="shared" si="3"/>
        <v>50845.56</v>
      </c>
      <c r="AN14" s="136">
        <f t="shared" si="3"/>
        <v>50845.56</v>
      </c>
      <c r="AO14" s="136">
        <f t="shared" si="3"/>
        <v>50845.56</v>
      </c>
      <c r="AP14" s="136">
        <f t="shared" si="3"/>
        <v>50845.56</v>
      </c>
      <c r="AQ14" s="136">
        <f t="shared" si="3"/>
        <v>50845.56</v>
      </c>
      <c r="AR14" s="136">
        <f t="shared" si="3"/>
        <v>50845.56</v>
      </c>
      <c r="AS14" s="136">
        <f t="shared" si="3"/>
        <v>50845.56</v>
      </c>
      <c r="AT14" s="136">
        <f t="shared" si="3"/>
        <v>50845.56</v>
      </c>
      <c r="AU14" s="136">
        <f t="shared" si="3"/>
        <v>50845.56</v>
      </c>
      <c r="AV14" s="136">
        <f t="shared" si="3"/>
        <v>50845.56</v>
      </c>
      <c r="AW14" s="136">
        <f t="shared" si="3"/>
        <v>50845.56</v>
      </c>
      <c r="AX14" s="136">
        <f t="shared" si="3"/>
        <v>50845.56</v>
      </c>
      <c r="AY14" s="136">
        <f t="shared" si="3"/>
        <v>50845.56</v>
      </c>
      <c r="AZ14" s="136">
        <f t="shared" si="3"/>
        <v>50845.56</v>
      </c>
    </row>
    <row r="15">
      <c r="B15" s="131" t="s">
        <v>290</v>
      </c>
      <c r="C15" s="132">
        <v>1.0</v>
      </c>
      <c r="D15" s="137">
        <f t="shared" ref="D15:AZ15" si="4">$C15*D$14</f>
        <v>-3154.44</v>
      </c>
      <c r="E15" s="137">
        <f t="shared" si="4"/>
        <v>50845.56</v>
      </c>
      <c r="F15" s="137">
        <f t="shared" si="4"/>
        <v>50845.56</v>
      </c>
      <c r="G15" s="137">
        <f t="shared" si="4"/>
        <v>50845.56</v>
      </c>
      <c r="H15" s="137">
        <f t="shared" si="4"/>
        <v>50845.56</v>
      </c>
      <c r="I15" s="137">
        <f t="shared" si="4"/>
        <v>50845.56</v>
      </c>
      <c r="J15" s="137">
        <f t="shared" si="4"/>
        <v>50845.56</v>
      </c>
      <c r="K15" s="137">
        <f t="shared" si="4"/>
        <v>50845.56</v>
      </c>
      <c r="L15" s="137">
        <f t="shared" si="4"/>
        <v>50845.56</v>
      </c>
      <c r="M15" s="137">
        <f t="shared" si="4"/>
        <v>50845.56</v>
      </c>
      <c r="N15" s="137">
        <f t="shared" si="4"/>
        <v>50845.56</v>
      </c>
      <c r="O15" s="137">
        <f t="shared" si="4"/>
        <v>50845.56</v>
      </c>
      <c r="P15" s="137">
        <f t="shared" si="4"/>
        <v>50845.56</v>
      </c>
      <c r="Q15" s="137">
        <f t="shared" si="4"/>
        <v>50845.56</v>
      </c>
      <c r="R15" s="137">
        <f t="shared" si="4"/>
        <v>50845.56</v>
      </c>
      <c r="S15" s="137">
        <f t="shared" si="4"/>
        <v>50845.56</v>
      </c>
      <c r="T15" s="137">
        <f t="shared" si="4"/>
        <v>50845.56</v>
      </c>
      <c r="U15" s="137">
        <f t="shared" si="4"/>
        <v>50845.56</v>
      </c>
      <c r="V15" s="137">
        <f t="shared" si="4"/>
        <v>50845.56</v>
      </c>
      <c r="W15" s="137">
        <f t="shared" si="4"/>
        <v>50845.56</v>
      </c>
      <c r="X15" s="137">
        <f t="shared" si="4"/>
        <v>50845.56</v>
      </c>
      <c r="Y15" s="137">
        <f t="shared" si="4"/>
        <v>50845.56</v>
      </c>
      <c r="Z15" s="137">
        <f t="shared" si="4"/>
        <v>50845.56</v>
      </c>
      <c r="AA15" s="137">
        <f t="shared" si="4"/>
        <v>50845.56</v>
      </c>
      <c r="AB15" s="137">
        <f t="shared" si="4"/>
        <v>50845.56</v>
      </c>
      <c r="AC15" s="137">
        <f t="shared" si="4"/>
        <v>50845.56</v>
      </c>
      <c r="AD15" s="137">
        <f t="shared" si="4"/>
        <v>50845.56</v>
      </c>
      <c r="AE15" s="137">
        <f t="shared" si="4"/>
        <v>50845.56</v>
      </c>
      <c r="AF15" s="137">
        <f t="shared" si="4"/>
        <v>50845.56</v>
      </c>
      <c r="AG15" s="137">
        <f t="shared" si="4"/>
        <v>50845.56</v>
      </c>
      <c r="AH15" s="137">
        <f t="shared" si="4"/>
        <v>50845.56</v>
      </c>
      <c r="AI15" s="137">
        <f t="shared" si="4"/>
        <v>50845.56</v>
      </c>
      <c r="AJ15" s="137">
        <f t="shared" si="4"/>
        <v>50845.56</v>
      </c>
      <c r="AK15" s="137">
        <f t="shared" si="4"/>
        <v>50845.56</v>
      </c>
      <c r="AL15" s="137">
        <f t="shared" si="4"/>
        <v>50845.56</v>
      </c>
      <c r="AM15" s="137">
        <f t="shared" si="4"/>
        <v>50845.56</v>
      </c>
      <c r="AN15" s="137">
        <f t="shared" si="4"/>
        <v>50845.56</v>
      </c>
      <c r="AO15" s="137">
        <f t="shared" si="4"/>
        <v>50845.56</v>
      </c>
      <c r="AP15" s="137">
        <f t="shared" si="4"/>
        <v>50845.56</v>
      </c>
      <c r="AQ15" s="137">
        <f t="shared" si="4"/>
        <v>50845.56</v>
      </c>
      <c r="AR15" s="137">
        <f t="shared" si="4"/>
        <v>50845.56</v>
      </c>
      <c r="AS15" s="137">
        <f t="shared" si="4"/>
        <v>50845.56</v>
      </c>
      <c r="AT15" s="137">
        <f t="shared" si="4"/>
        <v>50845.56</v>
      </c>
      <c r="AU15" s="137">
        <f t="shared" si="4"/>
        <v>50845.56</v>
      </c>
      <c r="AV15" s="137">
        <f t="shared" si="4"/>
        <v>50845.56</v>
      </c>
      <c r="AW15" s="137">
        <f t="shared" si="4"/>
        <v>50845.56</v>
      </c>
      <c r="AX15" s="137">
        <f t="shared" si="4"/>
        <v>50845.56</v>
      </c>
      <c r="AY15" s="137">
        <f t="shared" si="4"/>
        <v>50845.56</v>
      </c>
      <c r="AZ15" s="137">
        <f t="shared" si="4"/>
        <v>50845.56</v>
      </c>
    </row>
    <row r="16">
      <c r="B16" s="131" t="s">
        <v>291</v>
      </c>
      <c r="C16" s="132">
        <v>0.0</v>
      </c>
      <c r="D16" s="137">
        <f t="shared" ref="D16:AZ16" si="5">$C16*D$15</f>
        <v>0</v>
      </c>
      <c r="E16" s="137">
        <f t="shared" si="5"/>
        <v>0</v>
      </c>
      <c r="F16" s="137">
        <f t="shared" si="5"/>
        <v>0</v>
      </c>
      <c r="G16" s="137">
        <f t="shared" si="5"/>
        <v>0</v>
      </c>
      <c r="H16" s="137">
        <f t="shared" si="5"/>
        <v>0</v>
      </c>
      <c r="I16" s="137">
        <f t="shared" si="5"/>
        <v>0</v>
      </c>
      <c r="J16" s="137">
        <f t="shared" si="5"/>
        <v>0</v>
      </c>
      <c r="K16" s="137">
        <f t="shared" si="5"/>
        <v>0</v>
      </c>
      <c r="L16" s="137">
        <f t="shared" si="5"/>
        <v>0</v>
      </c>
      <c r="M16" s="137">
        <f t="shared" si="5"/>
        <v>0</v>
      </c>
      <c r="N16" s="137">
        <f t="shared" si="5"/>
        <v>0</v>
      </c>
      <c r="O16" s="137">
        <f t="shared" si="5"/>
        <v>0</v>
      </c>
      <c r="P16" s="137">
        <f t="shared" si="5"/>
        <v>0</v>
      </c>
      <c r="Q16" s="137">
        <f t="shared" si="5"/>
        <v>0</v>
      </c>
      <c r="R16" s="137">
        <f t="shared" si="5"/>
        <v>0</v>
      </c>
      <c r="S16" s="137">
        <f t="shared" si="5"/>
        <v>0</v>
      </c>
      <c r="T16" s="137">
        <f t="shared" si="5"/>
        <v>0</v>
      </c>
      <c r="U16" s="137">
        <f t="shared" si="5"/>
        <v>0</v>
      </c>
      <c r="V16" s="137">
        <f t="shared" si="5"/>
        <v>0</v>
      </c>
      <c r="W16" s="137">
        <f t="shared" si="5"/>
        <v>0</v>
      </c>
      <c r="X16" s="137">
        <f t="shared" si="5"/>
        <v>0</v>
      </c>
      <c r="Y16" s="137">
        <f t="shared" si="5"/>
        <v>0</v>
      </c>
      <c r="Z16" s="137">
        <f t="shared" si="5"/>
        <v>0</v>
      </c>
      <c r="AA16" s="137">
        <f t="shared" si="5"/>
        <v>0</v>
      </c>
      <c r="AB16" s="137">
        <f t="shared" si="5"/>
        <v>0</v>
      </c>
      <c r="AC16" s="137">
        <f t="shared" si="5"/>
        <v>0</v>
      </c>
      <c r="AD16" s="137">
        <f t="shared" si="5"/>
        <v>0</v>
      </c>
      <c r="AE16" s="137">
        <f t="shared" si="5"/>
        <v>0</v>
      </c>
      <c r="AF16" s="137">
        <f t="shared" si="5"/>
        <v>0</v>
      </c>
      <c r="AG16" s="137">
        <f t="shared" si="5"/>
        <v>0</v>
      </c>
      <c r="AH16" s="137">
        <f t="shared" si="5"/>
        <v>0</v>
      </c>
      <c r="AI16" s="137">
        <f t="shared" si="5"/>
        <v>0</v>
      </c>
      <c r="AJ16" s="137">
        <f t="shared" si="5"/>
        <v>0</v>
      </c>
      <c r="AK16" s="137">
        <f t="shared" si="5"/>
        <v>0</v>
      </c>
      <c r="AL16" s="137">
        <f t="shared" si="5"/>
        <v>0</v>
      </c>
      <c r="AM16" s="137">
        <f t="shared" si="5"/>
        <v>0</v>
      </c>
      <c r="AN16" s="137">
        <f t="shared" si="5"/>
        <v>0</v>
      </c>
      <c r="AO16" s="137">
        <f t="shared" si="5"/>
        <v>0</v>
      </c>
      <c r="AP16" s="137">
        <f t="shared" si="5"/>
        <v>0</v>
      </c>
      <c r="AQ16" s="137">
        <f t="shared" si="5"/>
        <v>0</v>
      </c>
      <c r="AR16" s="137">
        <f t="shared" si="5"/>
        <v>0</v>
      </c>
      <c r="AS16" s="137">
        <f t="shared" si="5"/>
        <v>0</v>
      </c>
      <c r="AT16" s="137">
        <f t="shared" si="5"/>
        <v>0</v>
      </c>
      <c r="AU16" s="137">
        <f t="shared" si="5"/>
        <v>0</v>
      </c>
      <c r="AV16" s="137">
        <f t="shared" si="5"/>
        <v>0</v>
      </c>
      <c r="AW16" s="137">
        <f t="shared" si="5"/>
        <v>0</v>
      </c>
      <c r="AX16" s="137">
        <f t="shared" si="5"/>
        <v>0</v>
      </c>
      <c r="AY16" s="137">
        <f t="shared" si="5"/>
        <v>0</v>
      </c>
      <c r="AZ16" s="137">
        <f t="shared" si="5"/>
        <v>0</v>
      </c>
    </row>
    <row r="17">
      <c r="B17" s="138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</row>
    <row r="18">
      <c r="B18" s="139" t="s">
        <v>292</v>
      </c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</row>
    <row r="19">
      <c r="B19" s="140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</row>
    <row r="20">
      <c r="B20" s="128" t="s">
        <v>293</v>
      </c>
      <c r="C20" s="129" t="s">
        <v>284</v>
      </c>
      <c r="D20" s="85" t="s">
        <v>285</v>
      </c>
      <c r="E20" s="130">
        <v>46143.0</v>
      </c>
      <c r="F20" s="130">
        <v>46508.0</v>
      </c>
      <c r="G20" s="130">
        <v>46874.0</v>
      </c>
      <c r="H20" s="130">
        <v>47239.0</v>
      </c>
      <c r="I20" s="130">
        <v>47604.0</v>
      </c>
      <c r="J20" s="130">
        <v>47969.0</v>
      </c>
      <c r="K20" s="130">
        <v>48335.0</v>
      </c>
      <c r="L20" s="130">
        <v>48700.0</v>
      </c>
      <c r="M20" s="130">
        <v>49065.0</v>
      </c>
      <c r="N20" s="130">
        <v>49430.0</v>
      </c>
      <c r="O20" s="130">
        <v>49796.0</v>
      </c>
      <c r="P20" s="130">
        <v>50161.0</v>
      </c>
      <c r="Q20" s="130">
        <v>50526.0</v>
      </c>
      <c r="R20" s="130">
        <v>50891.0</v>
      </c>
      <c r="S20" s="130">
        <v>51257.0</v>
      </c>
      <c r="T20" s="130">
        <v>51622.0</v>
      </c>
      <c r="U20" s="130">
        <v>51987.0</v>
      </c>
      <c r="V20" s="130">
        <v>52352.0</v>
      </c>
      <c r="W20" s="130">
        <v>52718.0</v>
      </c>
      <c r="X20" s="130">
        <v>53083.0</v>
      </c>
      <c r="Y20" s="130">
        <v>53448.0</v>
      </c>
      <c r="Z20" s="130">
        <v>53813.0</v>
      </c>
      <c r="AA20" s="130">
        <v>54179.0</v>
      </c>
      <c r="AB20" s="130">
        <v>54544.0</v>
      </c>
      <c r="AC20" s="130">
        <v>54909.0</v>
      </c>
      <c r="AD20" s="130">
        <v>55274.0</v>
      </c>
      <c r="AE20" s="130">
        <v>55640.0</v>
      </c>
      <c r="AF20" s="130">
        <v>56005.0</v>
      </c>
      <c r="AG20" s="130">
        <v>56370.0</v>
      </c>
      <c r="AH20" s="130">
        <v>56735.0</v>
      </c>
      <c r="AI20" s="130">
        <v>57101.0</v>
      </c>
      <c r="AJ20" s="130">
        <v>57466.0</v>
      </c>
      <c r="AK20" s="130">
        <v>57831.0</v>
      </c>
      <c r="AL20" s="130">
        <v>58196.0</v>
      </c>
      <c r="AM20" s="130">
        <v>58562.0</v>
      </c>
      <c r="AN20" s="130">
        <v>58927.0</v>
      </c>
      <c r="AO20" s="130">
        <v>59292.0</v>
      </c>
      <c r="AP20" s="130">
        <v>59657.0</v>
      </c>
      <c r="AQ20" s="130">
        <v>60023.0</v>
      </c>
      <c r="AR20" s="130">
        <v>60388.0</v>
      </c>
      <c r="AS20" s="130">
        <v>60753.0</v>
      </c>
      <c r="AT20" s="130">
        <v>61118.0</v>
      </c>
      <c r="AU20" s="130">
        <v>61484.0</v>
      </c>
      <c r="AV20" s="130">
        <v>61849.0</v>
      </c>
      <c r="AW20" s="130">
        <v>62214.0</v>
      </c>
      <c r="AX20" s="130">
        <v>62579.0</v>
      </c>
      <c r="AY20" s="130">
        <v>62945.0</v>
      </c>
      <c r="AZ20" s="130">
        <v>63310.0</v>
      </c>
    </row>
    <row r="21">
      <c r="B21" s="141" t="s">
        <v>294</v>
      </c>
      <c r="C21" s="142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</row>
    <row r="22">
      <c r="B22" s="144" t="s">
        <v>295</v>
      </c>
      <c r="C22" s="145" t="str">
        <f>'Input Data'!L22</f>
        <v/>
      </c>
      <c r="D22" s="146" t="str">
        <f>'Input Data'!K22</f>
        <v/>
      </c>
      <c r="E22" s="146">
        <f t="shared" ref="E22:AZ22" si="6">D22*(1+$C22)+D14*$C$15</f>
        <v>-3154.44</v>
      </c>
      <c r="F22" s="146">
        <f t="shared" si="6"/>
        <v>47691.12</v>
      </c>
      <c r="G22" s="146">
        <f t="shared" si="6"/>
        <v>98536.68</v>
      </c>
      <c r="H22" s="146">
        <f t="shared" si="6"/>
        <v>149382.24</v>
      </c>
      <c r="I22" s="146">
        <f t="shared" si="6"/>
        <v>200227.8</v>
      </c>
      <c r="J22" s="146">
        <f t="shared" si="6"/>
        <v>251073.36</v>
      </c>
      <c r="K22" s="146">
        <f t="shared" si="6"/>
        <v>301918.92</v>
      </c>
      <c r="L22" s="146">
        <f t="shared" si="6"/>
        <v>352764.48</v>
      </c>
      <c r="M22" s="146">
        <f t="shared" si="6"/>
        <v>403610.04</v>
      </c>
      <c r="N22" s="146">
        <f t="shared" si="6"/>
        <v>454455.6</v>
      </c>
      <c r="O22" s="146">
        <f t="shared" si="6"/>
        <v>505301.16</v>
      </c>
      <c r="P22" s="146">
        <f t="shared" si="6"/>
        <v>556146.72</v>
      </c>
      <c r="Q22" s="146">
        <f t="shared" si="6"/>
        <v>606992.28</v>
      </c>
      <c r="R22" s="146">
        <f t="shared" si="6"/>
        <v>657837.84</v>
      </c>
      <c r="S22" s="146">
        <f t="shared" si="6"/>
        <v>708683.4</v>
      </c>
      <c r="T22" s="146">
        <f t="shared" si="6"/>
        <v>759528.96</v>
      </c>
      <c r="U22" s="146">
        <f t="shared" si="6"/>
        <v>810374.52</v>
      </c>
      <c r="V22" s="146">
        <f t="shared" si="6"/>
        <v>861220.08</v>
      </c>
      <c r="W22" s="146">
        <f t="shared" si="6"/>
        <v>912065.64</v>
      </c>
      <c r="X22" s="146">
        <f t="shared" si="6"/>
        <v>962911.2</v>
      </c>
      <c r="Y22" s="146">
        <f t="shared" si="6"/>
        <v>1013756.76</v>
      </c>
      <c r="Z22" s="146">
        <f t="shared" si="6"/>
        <v>1064602.32</v>
      </c>
      <c r="AA22" s="146">
        <f t="shared" si="6"/>
        <v>1115447.88</v>
      </c>
      <c r="AB22" s="146">
        <f t="shared" si="6"/>
        <v>1166293.44</v>
      </c>
      <c r="AC22" s="146">
        <f t="shared" si="6"/>
        <v>1217139</v>
      </c>
      <c r="AD22" s="146">
        <f t="shared" si="6"/>
        <v>1267984.56</v>
      </c>
      <c r="AE22" s="146">
        <f t="shared" si="6"/>
        <v>1318830.12</v>
      </c>
      <c r="AF22" s="146">
        <f t="shared" si="6"/>
        <v>1369675.68</v>
      </c>
      <c r="AG22" s="146">
        <f t="shared" si="6"/>
        <v>1420521.24</v>
      </c>
      <c r="AH22" s="146">
        <f t="shared" si="6"/>
        <v>1471366.8</v>
      </c>
      <c r="AI22" s="146">
        <f t="shared" si="6"/>
        <v>1522212.36</v>
      </c>
      <c r="AJ22" s="146">
        <f t="shared" si="6"/>
        <v>1573057.92</v>
      </c>
      <c r="AK22" s="146">
        <f t="shared" si="6"/>
        <v>1623903.48</v>
      </c>
      <c r="AL22" s="146">
        <f t="shared" si="6"/>
        <v>1674749.04</v>
      </c>
      <c r="AM22" s="146">
        <f t="shared" si="6"/>
        <v>1725594.6</v>
      </c>
      <c r="AN22" s="146">
        <f t="shared" si="6"/>
        <v>1776440.16</v>
      </c>
      <c r="AO22" s="146">
        <f t="shared" si="6"/>
        <v>1827285.72</v>
      </c>
      <c r="AP22" s="146">
        <f t="shared" si="6"/>
        <v>1878131.28</v>
      </c>
      <c r="AQ22" s="146">
        <f t="shared" si="6"/>
        <v>1928976.84</v>
      </c>
      <c r="AR22" s="146">
        <f t="shared" si="6"/>
        <v>1979822.4</v>
      </c>
      <c r="AS22" s="146">
        <f t="shared" si="6"/>
        <v>2030667.96</v>
      </c>
      <c r="AT22" s="146">
        <f t="shared" si="6"/>
        <v>2081513.52</v>
      </c>
      <c r="AU22" s="146">
        <f t="shared" si="6"/>
        <v>2132359.08</v>
      </c>
      <c r="AV22" s="146">
        <f t="shared" si="6"/>
        <v>2183204.64</v>
      </c>
      <c r="AW22" s="146">
        <f t="shared" si="6"/>
        <v>2234050.2</v>
      </c>
      <c r="AX22" s="146">
        <f t="shared" si="6"/>
        <v>2284895.76</v>
      </c>
      <c r="AY22" s="146">
        <f t="shared" si="6"/>
        <v>2335741.32</v>
      </c>
      <c r="AZ22" s="146">
        <f t="shared" si="6"/>
        <v>2386586.88</v>
      </c>
    </row>
    <row r="23">
      <c r="B23" s="144" t="s">
        <v>296</v>
      </c>
      <c r="C23" s="145" t="str">
        <f>'Input Data'!L23</f>
        <v/>
      </c>
      <c r="D23" s="146" t="str">
        <f>'Input Data'!K23</f>
        <v/>
      </c>
      <c r="E23" s="146">
        <f t="shared" ref="E23:AZ23" si="7">D23*(1+$C23)</f>
        <v>0</v>
      </c>
      <c r="F23" s="146">
        <f t="shared" si="7"/>
        <v>0</v>
      </c>
      <c r="G23" s="146">
        <f t="shared" si="7"/>
        <v>0</v>
      </c>
      <c r="H23" s="146">
        <f t="shared" si="7"/>
        <v>0</v>
      </c>
      <c r="I23" s="146">
        <f t="shared" si="7"/>
        <v>0</v>
      </c>
      <c r="J23" s="146">
        <f t="shared" si="7"/>
        <v>0</v>
      </c>
      <c r="K23" s="146">
        <f t="shared" si="7"/>
        <v>0</v>
      </c>
      <c r="L23" s="146">
        <f t="shared" si="7"/>
        <v>0</v>
      </c>
      <c r="M23" s="146">
        <f t="shared" si="7"/>
        <v>0</v>
      </c>
      <c r="N23" s="146">
        <f t="shared" si="7"/>
        <v>0</v>
      </c>
      <c r="O23" s="146">
        <f t="shared" si="7"/>
        <v>0</v>
      </c>
      <c r="P23" s="146">
        <f t="shared" si="7"/>
        <v>0</v>
      </c>
      <c r="Q23" s="146">
        <f t="shared" si="7"/>
        <v>0</v>
      </c>
      <c r="R23" s="146">
        <f t="shared" si="7"/>
        <v>0</v>
      </c>
      <c r="S23" s="146">
        <f t="shared" si="7"/>
        <v>0</v>
      </c>
      <c r="T23" s="146">
        <f t="shared" si="7"/>
        <v>0</v>
      </c>
      <c r="U23" s="146">
        <f t="shared" si="7"/>
        <v>0</v>
      </c>
      <c r="V23" s="146">
        <f t="shared" si="7"/>
        <v>0</v>
      </c>
      <c r="W23" s="146">
        <f t="shared" si="7"/>
        <v>0</v>
      </c>
      <c r="X23" s="146">
        <f t="shared" si="7"/>
        <v>0</v>
      </c>
      <c r="Y23" s="146">
        <f t="shared" si="7"/>
        <v>0</v>
      </c>
      <c r="Z23" s="146">
        <f t="shared" si="7"/>
        <v>0</v>
      </c>
      <c r="AA23" s="146">
        <f t="shared" si="7"/>
        <v>0</v>
      </c>
      <c r="AB23" s="146">
        <f t="shared" si="7"/>
        <v>0</v>
      </c>
      <c r="AC23" s="146">
        <f t="shared" si="7"/>
        <v>0</v>
      </c>
      <c r="AD23" s="146">
        <f t="shared" si="7"/>
        <v>0</v>
      </c>
      <c r="AE23" s="146">
        <f t="shared" si="7"/>
        <v>0</v>
      </c>
      <c r="AF23" s="146">
        <f t="shared" si="7"/>
        <v>0</v>
      </c>
      <c r="AG23" s="146">
        <f t="shared" si="7"/>
        <v>0</v>
      </c>
      <c r="AH23" s="146">
        <f t="shared" si="7"/>
        <v>0</v>
      </c>
      <c r="AI23" s="146">
        <f t="shared" si="7"/>
        <v>0</v>
      </c>
      <c r="AJ23" s="146">
        <f t="shared" si="7"/>
        <v>0</v>
      </c>
      <c r="AK23" s="146">
        <f t="shared" si="7"/>
        <v>0</v>
      </c>
      <c r="AL23" s="146">
        <f t="shared" si="7"/>
        <v>0</v>
      </c>
      <c r="AM23" s="146">
        <f t="shared" si="7"/>
        <v>0</v>
      </c>
      <c r="AN23" s="146">
        <f t="shared" si="7"/>
        <v>0</v>
      </c>
      <c r="AO23" s="146">
        <f t="shared" si="7"/>
        <v>0</v>
      </c>
      <c r="AP23" s="146">
        <f t="shared" si="7"/>
        <v>0</v>
      </c>
      <c r="AQ23" s="146">
        <f t="shared" si="7"/>
        <v>0</v>
      </c>
      <c r="AR23" s="146">
        <f t="shared" si="7"/>
        <v>0</v>
      </c>
      <c r="AS23" s="146">
        <f t="shared" si="7"/>
        <v>0</v>
      </c>
      <c r="AT23" s="146">
        <f t="shared" si="7"/>
        <v>0</v>
      </c>
      <c r="AU23" s="146">
        <f t="shared" si="7"/>
        <v>0</v>
      </c>
      <c r="AV23" s="146">
        <f t="shared" si="7"/>
        <v>0</v>
      </c>
      <c r="AW23" s="146">
        <f t="shared" si="7"/>
        <v>0</v>
      </c>
      <c r="AX23" s="146">
        <f t="shared" si="7"/>
        <v>0</v>
      </c>
      <c r="AY23" s="146">
        <f t="shared" si="7"/>
        <v>0</v>
      </c>
      <c r="AZ23" s="146">
        <f t="shared" si="7"/>
        <v>0</v>
      </c>
    </row>
    <row r="24">
      <c r="B24" s="144" t="s">
        <v>297</v>
      </c>
      <c r="C24" s="145" t="str">
        <f>'Input Data'!L24</f>
        <v/>
      </c>
      <c r="D24" s="146" t="str">
        <f>'Input Data'!K24</f>
        <v/>
      </c>
      <c r="E24" s="146">
        <f t="shared" ref="E24:AZ24" si="8">D24*(1+$C24)</f>
        <v>0</v>
      </c>
      <c r="F24" s="146">
        <f t="shared" si="8"/>
        <v>0</v>
      </c>
      <c r="G24" s="146">
        <f t="shared" si="8"/>
        <v>0</v>
      </c>
      <c r="H24" s="146">
        <f t="shared" si="8"/>
        <v>0</v>
      </c>
      <c r="I24" s="146">
        <f t="shared" si="8"/>
        <v>0</v>
      </c>
      <c r="J24" s="146">
        <f t="shared" si="8"/>
        <v>0</v>
      </c>
      <c r="K24" s="146">
        <f t="shared" si="8"/>
        <v>0</v>
      </c>
      <c r="L24" s="146">
        <f t="shared" si="8"/>
        <v>0</v>
      </c>
      <c r="M24" s="146">
        <f t="shared" si="8"/>
        <v>0</v>
      </c>
      <c r="N24" s="146">
        <f t="shared" si="8"/>
        <v>0</v>
      </c>
      <c r="O24" s="146">
        <f t="shared" si="8"/>
        <v>0</v>
      </c>
      <c r="P24" s="146">
        <f t="shared" si="8"/>
        <v>0</v>
      </c>
      <c r="Q24" s="146">
        <f t="shared" si="8"/>
        <v>0</v>
      </c>
      <c r="R24" s="146">
        <f t="shared" si="8"/>
        <v>0</v>
      </c>
      <c r="S24" s="146">
        <f t="shared" si="8"/>
        <v>0</v>
      </c>
      <c r="T24" s="146">
        <f t="shared" si="8"/>
        <v>0</v>
      </c>
      <c r="U24" s="146">
        <f t="shared" si="8"/>
        <v>0</v>
      </c>
      <c r="V24" s="146">
        <f t="shared" si="8"/>
        <v>0</v>
      </c>
      <c r="W24" s="146">
        <f t="shared" si="8"/>
        <v>0</v>
      </c>
      <c r="X24" s="146">
        <f t="shared" si="8"/>
        <v>0</v>
      </c>
      <c r="Y24" s="146">
        <f t="shared" si="8"/>
        <v>0</v>
      </c>
      <c r="Z24" s="146">
        <f t="shared" si="8"/>
        <v>0</v>
      </c>
      <c r="AA24" s="146">
        <f t="shared" si="8"/>
        <v>0</v>
      </c>
      <c r="AB24" s="146">
        <f t="shared" si="8"/>
        <v>0</v>
      </c>
      <c r="AC24" s="146">
        <f t="shared" si="8"/>
        <v>0</v>
      </c>
      <c r="AD24" s="146">
        <f t="shared" si="8"/>
        <v>0</v>
      </c>
      <c r="AE24" s="146">
        <f t="shared" si="8"/>
        <v>0</v>
      </c>
      <c r="AF24" s="146">
        <f t="shared" si="8"/>
        <v>0</v>
      </c>
      <c r="AG24" s="146">
        <f t="shared" si="8"/>
        <v>0</v>
      </c>
      <c r="AH24" s="146">
        <f t="shared" si="8"/>
        <v>0</v>
      </c>
      <c r="AI24" s="146">
        <f t="shared" si="8"/>
        <v>0</v>
      </c>
      <c r="AJ24" s="146">
        <f t="shared" si="8"/>
        <v>0</v>
      </c>
      <c r="AK24" s="146">
        <f t="shared" si="8"/>
        <v>0</v>
      </c>
      <c r="AL24" s="146">
        <f t="shared" si="8"/>
        <v>0</v>
      </c>
      <c r="AM24" s="146">
        <f t="shared" si="8"/>
        <v>0</v>
      </c>
      <c r="AN24" s="146">
        <f t="shared" si="8"/>
        <v>0</v>
      </c>
      <c r="AO24" s="146">
        <f t="shared" si="8"/>
        <v>0</v>
      </c>
      <c r="AP24" s="146">
        <f t="shared" si="8"/>
        <v>0</v>
      </c>
      <c r="AQ24" s="146">
        <f t="shared" si="8"/>
        <v>0</v>
      </c>
      <c r="AR24" s="146">
        <f t="shared" si="8"/>
        <v>0</v>
      </c>
      <c r="AS24" s="146">
        <f t="shared" si="8"/>
        <v>0</v>
      </c>
      <c r="AT24" s="146">
        <f t="shared" si="8"/>
        <v>0</v>
      </c>
      <c r="AU24" s="146">
        <f t="shared" si="8"/>
        <v>0</v>
      </c>
      <c r="AV24" s="146">
        <f t="shared" si="8"/>
        <v>0</v>
      </c>
      <c r="AW24" s="146">
        <f t="shared" si="8"/>
        <v>0</v>
      </c>
      <c r="AX24" s="146">
        <f t="shared" si="8"/>
        <v>0</v>
      </c>
      <c r="AY24" s="146">
        <f t="shared" si="8"/>
        <v>0</v>
      </c>
      <c r="AZ24" s="146">
        <f t="shared" si="8"/>
        <v>0</v>
      </c>
    </row>
    <row r="25">
      <c r="B25" s="144" t="s">
        <v>298</v>
      </c>
      <c r="C25" s="145" t="str">
        <f>'Input Data'!L25</f>
        <v/>
      </c>
      <c r="D25" s="146" t="str">
        <f>'Input Data'!K25</f>
        <v/>
      </c>
      <c r="E25" s="146">
        <f t="shared" ref="E25:AZ25" si="9">D25*(1+$C25)</f>
        <v>0</v>
      </c>
      <c r="F25" s="146">
        <f t="shared" si="9"/>
        <v>0</v>
      </c>
      <c r="G25" s="146">
        <f t="shared" si="9"/>
        <v>0</v>
      </c>
      <c r="H25" s="146">
        <f t="shared" si="9"/>
        <v>0</v>
      </c>
      <c r="I25" s="146">
        <f t="shared" si="9"/>
        <v>0</v>
      </c>
      <c r="J25" s="146">
        <f t="shared" si="9"/>
        <v>0</v>
      </c>
      <c r="K25" s="146">
        <f t="shared" si="9"/>
        <v>0</v>
      </c>
      <c r="L25" s="146">
        <f t="shared" si="9"/>
        <v>0</v>
      </c>
      <c r="M25" s="146">
        <f t="shared" si="9"/>
        <v>0</v>
      </c>
      <c r="N25" s="146">
        <f t="shared" si="9"/>
        <v>0</v>
      </c>
      <c r="O25" s="146">
        <f t="shared" si="9"/>
        <v>0</v>
      </c>
      <c r="P25" s="146">
        <f t="shared" si="9"/>
        <v>0</v>
      </c>
      <c r="Q25" s="146">
        <f t="shared" si="9"/>
        <v>0</v>
      </c>
      <c r="R25" s="146">
        <f t="shared" si="9"/>
        <v>0</v>
      </c>
      <c r="S25" s="146">
        <f t="shared" si="9"/>
        <v>0</v>
      </c>
      <c r="T25" s="146">
        <f t="shared" si="9"/>
        <v>0</v>
      </c>
      <c r="U25" s="146">
        <f t="shared" si="9"/>
        <v>0</v>
      </c>
      <c r="V25" s="146">
        <f t="shared" si="9"/>
        <v>0</v>
      </c>
      <c r="W25" s="146">
        <f t="shared" si="9"/>
        <v>0</v>
      </c>
      <c r="X25" s="146">
        <f t="shared" si="9"/>
        <v>0</v>
      </c>
      <c r="Y25" s="146">
        <f t="shared" si="9"/>
        <v>0</v>
      </c>
      <c r="Z25" s="146">
        <f t="shared" si="9"/>
        <v>0</v>
      </c>
      <c r="AA25" s="146">
        <f t="shared" si="9"/>
        <v>0</v>
      </c>
      <c r="AB25" s="146">
        <f t="shared" si="9"/>
        <v>0</v>
      </c>
      <c r="AC25" s="146">
        <f t="shared" si="9"/>
        <v>0</v>
      </c>
      <c r="AD25" s="146">
        <f t="shared" si="9"/>
        <v>0</v>
      </c>
      <c r="AE25" s="146">
        <f t="shared" si="9"/>
        <v>0</v>
      </c>
      <c r="AF25" s="146">
        <f t="shared" si="9"/>
        <v>0</v>
      </c>
      <c r="AG25" s="146">
        <f t="shared" si="9"/>
        <v>0</v>
      </c>
      <c r="AH25" s="146">
        <f t="shared" si="9"/>
        <v>0</v>
      </c>
      <c r="AI25" s="146">
        <f t="shared" si="9"/>
        <v>0</v>
      </c>
      <c r="AJ25" s="146">
        <f t="shared" si="9"/>
        <v>0</v>
      </c>
      <c r="AK25" s="146">
        <f t="shared" si="9"/>
        <v>0</v>
      </c>
      <c r="AL25" s="146">
        <f t="shared" si="9"/>
        <v>0</v>
      </c>
      <c r="AM25" s="146">
        <f t="shared" si="9"/>
        <v>0</v>
      </c>
      <c r="AN25" s="146">
        <f t="shared" si="9"/>
        <v>0</v>
      </c>
      <c r="AO25" s="146">
        <f t="shared" si="9"/>
        <v>0</v>
      </c>
      <c r="AP25" s="146">
        <f t="shared" si="9"/>
        <v>0</v>
      </c>
      <c r="AQ25" s="146">
        <f t="shared" si="9"/>
        <v>0</v>
      </c>
      <c r="AR25" s="146">
        <f t="shared" si="9"/>
        <v>0</v>
      </c>
      <c r="AS25" s="146">
        <f t="shared" si="9"/>
        <v>0</v>
      </c>
      <c r="AT25" s="146">
        <f t="shared" si="9"/>
        <v>0</v>
      </c>
      <c r="AU25" s="146">
        <f t="shared" si="9"/>
        <v>0</v>
      </c>
      <c r="AV25" s="146">
        <f t="shared" si="9"/>
        <v>0</v>
      </c>
      <c r="AW25" s="146">
        <f t="shared" si="9"/>
        <v>0</v>
      </c>
      <c r="AX25" s="146">
        <f t="shared" si="9"/>
        <v>0</v>
      </c>
      <c r="AY25" s="146">
        <f t="shared" si="9"/>
        <v>0</v>
      </c>
      <c r="AZ25" s="146">
        <f t="shared" si="9"/>
        <v>0</v>
      </c>
    </row>
    <row r="26">
      <c r="B26" s="144" t="s">
        <v>299</v>
      </c>
      <c r="C26" s="145" t="str">
        <f>'Input Data'!L26</f>
        <v/>
      </c>
      <c r="D26" s="146" t="str">
        <f>'Input Data'!K26</f>
        <v/>
      </c>
      <c r="E26" s="146">
        <f t="shared" ref="E26:AZ26" si="10">D26*(1+$C26)</f>
        <v>0</v>
      </c>
      <c r="F26" s="146">
        <f t="shared" si="10"/>
        <v>0</v>
      </c>
      <c r="G26" s="146">
        <f t="shared" si="10"/>
        <v>0</v>
      </c>
      <c r="H26" s="146">
        <f t="shared" si="10"/>
        <v>0</v>
      </c>
      <c r="I26" s="146">
        <f t="shared" si="10"/>
        <v>0</v>
      </c>
      <c r="J26" s="146">
        <f t="shared" si="10"/>
        <v>0</v>
      </c>
      <c r="K26" s="146">
        <f t="shared" si="10"/>
        <v>0</v>
      </c>
      <c r="L26" s="146">
        <f t="shared" si="10"/>
        <v>0</v>
      </c>
      <c r="M26" s="146">
        <f t="shared" si="10"/>
        <v>0</v>
      </c>
      <c r="N26" s="146">
        <f t="shared" si="10"/>
        <v>0</v>
      </c>
      <c r="O26" s="146">
        <f t="shared" si="10"/>
        <v>0</v>
      </c>
      <c r="P26" s="146">
        <f t="shared" si="10"/>
        <v>0</v>
      </c>
      <c r="Q26" s="146">
        <f t="shared" si="10"/>
        <v>0</v>
      </c>
      <c r="R26" s="146">
        <f t="shared" si="10"/>
        <v>0</v>
      </c>
      <c r="S26" s="146">
        <f t="shared" si="10"/>
        <v>0</v>
      </c>
      <c r="T26" s="146">
        <f t="shared" si="10"/>
        <v>0</v>
      </c>
      <c r="U26" s="146">
        <f t="shared" si="10"/>
        <v>0</v>
      </c>
      <c r="V26" s="146">
        <f t="shared" si="10"/>
        <v>0</v>
      </c>
      <c r="W26" s="146">
        <f t="shared" si="10"/>
        <v>0</v>
      </c>
      <c r="X26" s="146">
        <f t="shared" si="10"/>
        <v>0</v>
      </c>
      <c r="Y26" s="146">
        <f t="shared" si="10"/>
        <v>0</v>
      </c>
      <c r="Z26" s="146">
        <f t="shared" si="10"/>
        <v>0</v>
      </c>
      <c r="AA26" s="146">
        <f t="shared" si="10"/>
        <v>0</v>
      </c>
      <c r="AB26" s="146">
        <f t="shared" si="10"/>
        <v>0</v>
      </c>
      <c r="AC26" s="146">
        <f t="shared" si="10"/>
        <v>0</v>
      </c>
      <c r="AD26" s="146">
        <f t="shared" si="10"/>
        <v>0</v>
      </c>
      <c r="AE26" s="146">
        <f t="shared" si="10"/>
        <v>0</v>
      </c>
      <c r="AF26" s="146">
        <f t="shared" si="10"/>
        <v>0</v>
      </c>
      <c r="AG26" s="146">
        <f t="shared" si="10"/>
        <v>0</v>
      </c>
      <c r="AH26" s="146">
        <f t="shared" si="10"/>
        <v>0</v>
      </c>
      <c r="AI26" s="146">
        <f t="shared" si="10"/>
        <v>0</v>
      </c>
      <c r="AJ26" s="146">
        <f t="shared" si="10"/>
        <v>0</v>
      </c>
      <c r="AK26" s="146">
        <f t="shared" si="10"/>
        <v>0</v>
      </c>
      <c r="AL26" s="146">
        <f t="shared" si="10"/>
        <v>0</v>
      </c>
      <c r="AM26" s="146">
        <f t="shared" si="10"/>
        <v>0</v>
      </c>
      <c r="AN26" s="146">
        <f t="shared" si="10"/>
        <v>0</v>
      </c>
      <c r="AO26" s="146">
        <f t="shared" si="10"/>
        <v>0</v>
      </c>
      <c r="AP26" s="146">
        <f t="shared" si="10"/>
        <v>0</v>
      </c>
      <c r="AQ26" s="146">
        <f t="shared" si="10"/>
        <v>0</v>
      </c>
      <c r="AR26" s="146">
        <f t="shared" si="10"/>
        <v>0</v>
      </c>
      <c r="AS26" s="146">
        <f t="shared" si="10"/>
        <v>0</v>
      </c>
      <c r="AT26" s="146">
        <f t="shared" si="10"/>
        <v>0</v>
      </c>
      <c r="AU26" s="146">
        <f t="shared" si="10"/>
        <v>0</v>
      </c>
      <c r="AV26" s="146">
        <f t="shared" si="10"/>
        <v>0</v>
      </c>
      <c r="AW26" s="146">
        <f t="shared" si="10"/>
        <v>0</v>
      </c>
      <c r="AX26" s="146">
        <f t="shared" si="10"/>
        <v>0</v>
      </c>
      <c r="AY26" s="146">
        <f t="shared" si="10"/>
        <v>0</v>
      </c>
      <c r="AZ26" s="146">
        <f t="shared" si="10"/>
        <v>0</v>
      </c>
    </row>
    <row r="27">
      <c r="B27" s="147" t="s">
        <v>300</v>
      </c>
      <c r="C27" s="142" t="str">
        <f>iferror(sumproduct(C22:C26,D22:D26)/D27,"N/A")</f>
        <v>N/A</v>
      </c>
      <c r="D27" s="148">
        <f t="shared" ref="D27:AZ27" si="11">subtotal(9,D22:D26)</f>
        <v>0</v>
      </c>
      <c r="E27" s="148">
        <f t="shared" si="11"/>
        <v>-3154.44</v>
      </c>
      <c r="F27" s="148">
        <f t="shared" si="11"/>
        <v>47691.12</v>
      </c>
      <c r="G27" s="148">
        <f t="shared" si="11"/>
        <v>98536.68</v>
      </c>
      <c r="H27" s="148">
        <f t="shared" si="11"/>
        <v>149382.24</v>
      </c>
      <c r="I27" s="148">
        <f t="shared" si="11"/>
        <v>200227.8</v>
      </c>
      <c r="J27" s="148">
        <f t="shared" si="11"/>
        <v>251073.36</v>
      </c>
      <c r="K27" s="148">
        <f t="shared" si="11"/>
        <v>301918.92</v>
      </c>
      <c r="L27" s="148">
        <f t="shared" si="11"/>
        <v>352764.48</v>
      </c>
      <c r="M27" s="148">
        <f t="shared" si="11"/>
        <v>403610.04</v>
      </c>
      <c r="N27" s="148">
        <f t="shared" si="11"/>
        <v>454455.6</v>
      </c>
      <c r="O27" s="148">
        <f t="shared" si="11"/>
        <v>505301.16</v>
      </c>
      <c r="P27" s="148">
        <f t="shared" si="11"/>
        <v>556146.72</v>
      </c>
      <c r="Q27" s="148">
        <f t="shared" si="11"/>
        <v>606992.28</v>
      </c>
      <c r="R27" s="148">
        <f t="shared" si="11"/>
        <v>657837.84</v>
      </c>
      <c r="S27" s="148">
        <f t="shared" si="11"/>
        <v>708683.4</v>
      </c>
      <c r="T27" s="148">
        <f t="shared" si="11"/>
        <v>759528.96</v>
      </c>
      <c r="U27" s="148">
        <f t="shared" si="11"/>
        <v>810374.52</v>
      </c>
      <c r="V27" s="148">
        <f t="shared" si="11"/>
        <v>861220.08</v>
      </c>
      <c r="W27" s="148">
        <f t="shared" si="11"/>
        <v>912065.64</v>
      </c>
      <c r="X27" s="148">
        <f t="shared" si="11"/>
        <v>962911.2</v>
      </c>
      <c r="Y27" s="148">
        <f t="shared" si="11"/>
        <v>1013756.76</v>
      </c>
      <c r="Z27" s="148">
        <f t="shared" si="11"/>
        <v>1064602.32</v>
      </c>
      <c r="AA27" s="148">
        <f t="shared" si="11"/>
        <v>1115447.88</v>
      </c>
      <c r="AB27" s="148">
        <f t="shared" si="11"/>
        <v>1166293.44</v>
      </c>
      <c r="AC27" s="148">
        <f t="shared" si="11"/>
        <v>1217139</v>
      </c>
      <c r="AD27" s="148">
        <f t="shared" si="11"/>
        <v>1267984.56</v>
      </c>
      <c r="AE27" s="148">
        <f t="shared" si="11"/>
        <v>1318830.12</v>
      </c>
      <c r="AF27" s="148">
        <f t="shared" si="11"/>
        <v>1369675.68</v>
      </c>
      <c r="AG27" s="148">
        <f t="shared" si="11"/>
        <v>1420521.24</v>
      </c>
      <c r="AH27" s="148">
        <f t="shared" si="11"/>
        <v>1471366.8</v>
      </c>
      <c r="AI27" s="148">
        <f t="shared" si="11"/>
        <v>1522212.36</v>
      </c>
      <c r="AJ27" s="148">
        <f t="shared" si="11"/>
        <v>1573057.92</v>
      </c>
      <c r="AK27" s="148">
        <f t="shared" si="11"/>
        <v>1623903.48</v>
      </c>
      <c r="AL27" s="148">
        <f t="shared" si="11"/>
        <v>1674749.04</v>
      </c>
      <c r="AM27" s="148">
        <f t="shared" si="11"/>
        <v>1725594.6</v>
      </c>
      <c r="AN27" s="148">
        <f t="shared" si="11"/>
        <v>1776440.16</v>
      </c>
      <c r="AO27" s="148">
        <f t="shared" si="11"/>
        <v>1827285.72</v>
      </c>
      <c r="AP27" s="148">
        <f t="shared" si="11"/>
        <v>1878131.28</v>
      </c>
      <c r="AQ27" s="148">
        <f t="shared" si="11"/>
        <v>1928976.84</v>
      </c>
      <c r="AR27" s="148">
        <f t="shared" si="11"/>
        <v>1979822.4</v>
      </c>
      <c r="AS27" s="148">
        <f t="shared" si="11"/>
        <v>2030667.96</v>
      </c>
      <c r="AT27" s="148">
        <f t="shared" si="11"/>
        <v>2081513.52</v>
      </c>
      <c r="AU27" s="148">
        <f t="shared" si="11"/>
        <v>2132359.08</v>
      </c>
      <c r="AV27" s="148">
        <f t="shared" si="11"/>
        <v>2183204.64</v>
      </c>
      <c r="AW27" s="148">
        <f t="shared" si="11"/>
        <v>2234050.2</v>
      </c>
      <c r="AX27" s="148">
        <f t="shared" si="11"/>
        <v>2284895.76</v>
      </c>
      <c r="AY27" s="148">
        <f t="shared" si="11"/>
        <v>2335741.32</v>
      </c>
      <c r="AZ27" s="148">
        <f t="shared" si="11"/>
        <v>2386586.88</v>
      </c>
    </row>
    <row r="28">
      <c r="B28" s="141" t="s">
        <v>190</v>
      </c>
      <c r="C28" s="142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</row>
    <row r="29">
      <c r="B29" s="144" t="str">
        <f>'Input Data'!I31</f>
        <v>Charles Stanley</v>
      </c>
      <c r="C29" s="145">
        <f>msci_ann_gr</f>
        <v>0.0717</v>
      </c>
      <c r="D29" s="146">
        <f>'Input Data'!J31</f>
        <v>111104</v>
      </c>
      <c r="E29" s="146">
        <f>D29*(1+$C29)+'Input Data'!$L31</f>
        <v>119070.1568</v>
      </c>
      <c r="F29" s="146">
        <f>E29*(1+$C29)+'Input Data'!$L31</f>
        <v>127607.487</v>
      </c>
      <c r="G29" s="146">
        <f>F29*(1+$C29)+'Input Data'!$L31</f>
        <v>136756.9439</v>
      </c>
      <c r="H29" s="146">
        <f>G29*(1+$C29)+'Input Data'!$L31</f>
        <v>146562.4167</v>
      </c>
      <c r="I29" s="146">
        <f>H29*(1+$C29)+'Input Data'!$L31</f>
        <v>157070.942</v>
      </c>
      <c r="J29" s="146">
        <f>I29*(1+$C29)+'Input Data'!$L31</f>
        <v>168332.9286</v>
      </c>
      <c r="K29" s="146">
        <f>J29*(1+$C29)+'Input Data'!$L31</f>
        <v>180402.3995</v>
      </c>
      <c r="L29" s="146">
        <f>K29*(1+$C29)+'Input Data'!$L31</f>
        <v>193337.2516</v>
      </c>
      <c r="M29" s="146">
        <f>L29*(1+$C29)+'Input Data'!$L31</f>
        <v>207199.5325</v>
      </c>
      <c r="N29" s="146">
        <f>M29*(1+$C29)+'Input Data'!$L31</f>
        <v>222055.739</v>
      </c>
      <c r="O29" s="146">
        <f>N29*(1+$C29)+'Input Data'!$L31</f>
        <v>237977.1355</v>
      </c>
      <c r="P29" s="146">
        <f>O29*(1+$C29)+'Input Data'!$L31</f>
        <v>255040.0961</v>
      </c>
      <c r="Q29" s="146">
        <f>P29*(1+$C29)+'Input Data'!$L31</f>
        <v>273326.471</v>
      </c>
      <c r="R29" s="146">
        <f>Q29*(1+$C29)+'Input Data'!$L31</f>
        <v>292923.979</v>
      </c>
      <c r="S29" s="146">
        <f>R29*(1+$C29)+'Input Data'!$L31</f>
        <v>313926.6283</v>
      </c>
      <c r="T29" s="146">
        <f>S29*(1+$C29)+'Input Data'!$L31</f>
        <v>336435.1675</v>
      </c>
      <c r="U29" s="146">
        <f>T29*(1+$C29)+'Input Data'!$L31</f>
        <v>360557.569</v>
      </c>
      <c r="V29" s="146">
        <f>U29*(1+$C29)+'Input Data'!$L31</f>
        <v>386409.5467</v>
      </c>
      <c r="W29" s="146">
        <f>V29*(1+$C29)+'Input Data'!$L31</f>
        <v>414115.1112</v>
      </c>
      <c r="X29" s="146">
        <f>W29*(1+$C29)+'Input Data'!$L31</f>
        <v>443807.1647</v>
      </c>
      <c r="Y29" s="146">
        <f>X29*(1+$C29)+'Input Data'!$L31</f>
        <v>475628.1384</v>
      </c>
      <c r="Z29" s="146">
        <f>Y29*(1+$C29)+'Input Data'!$L31</f>
        <v>509730.6759</v>
      </c>
      <c r="AA29" s="146">
        <f>Z29*(1+$C29)+'Input Data'!$L31</f>
        <v>546278.3654</v>
      </c>
      <c r="AB29" s="146">
        <f>AA29*(1+$C29)+'Input Data'!$L31</f>
        <v>585446.5242</v>
      </c>
      <c r="AC29" s="146">
        <f>AB29*(1+$C29)+'Input Data'!$L31</f>
        <v>627423.04</v>
      </c>
      <c r="AD29" s="146">
        <f>AC29*(1+$C29)+'Input Data'!$L31</f>
        <v>672409.2719</v>
      </c>
      <c r="AE29" s="146">
        <f>AD29*(1+$C29)+'Input Data'!$L31</f>
        <v>720621.0167</v>
      </c>
      <c r="AF29" s="146">
        <f>AE29*(1+$C29)+'Input Data'!$L31</f>
        <v>772289.5436</v>
      </c>
      <c r="AG29" s="146">
        <f>AF29*(1+$C29)+'Input Data'!$L31</f>
        <v>827662.7039</v>
      </c>
      <c r="AH29" s="146">
        <f>AG29*(1+$C29)+'Input Data'!$L31</f>
        <v>887006.1198</v>
      </c>
      <c r="AI29" s="146">
        <f>AH29*(1+$C29)+'Input Data'!$L31</f>
        <v>950604.4586</v>
      </c>
      <c r="AJ29" s="146">
        <f>AI29*(1+$C29)+'Input Data'!$L31</f>
        <v>1018762.798</v>
      </c>
      <c r="AK29" s="146">
        <f>AJ29*(1+$C29)+'Input Data'!$L31</f>
        <v>1091808.091</v>
      </c>
      <c r="AL29" s="146">
        <f>AK29*(1+$C29)+'Input Data'!$L31</f>
        <v>1170090.731</v>
      </c>
      <c r="AM29" s="146">
        <f>AL29*(1+$C29)+'Input Data'!$L31</f>
        <v>1253986.236</v>
      </c>
      <c r="AN29" s="146">
        <f>AM29*(1+$C29)+'Input Data'!$L31</f>
        <v>1343897.05</v>
      </c>
      <c r="AO29" s="146">
        <f>AN29*(1+$C29)+'Input Data'!$L31</f>
        <v>1440254.468</v>
      </c>
      <c r="AP29" s="146">
        <f>AO29*(1+$C29)+'Input Data'!$L31</f>
        <v>1543520.713</v>
      </c>
      <c r="AQ29" s="146">
        <f>AP29*(1+$C29)+'Input Data'!$L31</f>
        <v>1654191.149</v>
      </c>
      <c r="AR29" s="146">
        <f>AQ29*(1+$C29)+'Input Data'!$L31</f>
        <v>1772796.654</v>
      </c>
      <c r="AS29" s="146">
        <f>AR29*(1+$C29)+'Input Data'!$L31</f>
        <v>1899906.174</v>
      </c>
      <c r="AT29" s="146">
        <f>AS29*(1+$C29)+'Input Data'!$L31</f>
        <v>2036129.447</v>
      </c>
      <c r="AU29" s="146">
        <f>AT29*(1+$C29)+'Input Data'!$L31</f>
        <v>2182119.928</v>
      </c>
      <c r="AV29" s="146">
        <f>AU29*(1+$C29)+'Input Data'!$L31</f>
        <v>2338577.927</v>
      </c>
      <c r="AW29" s="146">
        <f>AV29*(1+$C29)+'Input Data'!$L31</f>
        <v>2506253.964</v>
      </c>
      <c r="AX29" s="146">
        <f>AW29*(1+$C29)+'Input Data'!$L31</f>
        <v>2685952.373</v>
      </c>
      <c r="AY29" s="146">
        <f>AX29*(1+$C29)+'Input Data'!$L31</f>
        <v>2878535.159</v>
      </c>
      <c r="AZ29" s="146">
        <f>AY29*(1+$C29)+'Input Data'!$L31</f>
        <v>3084926.129</v>
      </c>
    </row>
    <row r="30">
      <c r="B30" s="144" t="str">
        <f>'Input Data'!I32</f>
        <v/>
      </c>
      <c r="C30" s="145">
        <f>msci_ann_gr</f>
        <v>0.0717</v>
      </c>
      <c r="D30" s="146"/>
      <c r="E30" s="146">
        <f>D30*(1+$C30)+'Input Data'!$L32</f>
        <v>0</v>
      </c>
      <c r="F30" s="146">
        <f>E30*(1+$C30)+'Input Data'!$L32</f>
        <v>0</v>
      </c>
      <c r="G30" s="146">
        <f>F30*(1+$C30)+'Input Data'!$L32</f>
        <v>0</v>
      </c>
      <c r="H30" s="146">
        <f>G30*(1+$C30)+'Input Data'!$L32</f>
        <v>0</v>
      </c>
      <c r="I30" s="146">
        <f>H30*(1+$C30)+'Input Data'!$L32</f>
        <v>0</v>
      </c>
      <c r="J30" s="146">
        <f>I30*(1+$C30)+'Input Data'!$L32</f>
        <v>0</v>
      </c>
      <c r="K30" s="146">
        <f>J30*(1+$C30)+'Input Data'!$L32</f>
        <v>0</v>
      </c>
      <c r="L30" s="146">
        <f>K30*(1+$C30)+'Input Data'!$L32</f>
        <v>0</v>
      </c>
      <c r="M30" s="146">
        <f>L30*(1+$C30)+'Input Data'!$L32</f>
        <v>0</v>
      </c>
      <c r="N30" s="146">
        <f>M30*(1+$C30)+'Input Data'!$L32</f>
        <v>0</v>
      </c>
      <c r="O30" s="146">
        <f>N30*(1+$C30)+'Input Data'!$L32</f>
        <v>0</v>
      </c>
      <c r="P30" s="146">
        <f>O30*(1+$C30)+'Input Data'!$L32</f>
        <v>0</v>
      </c>
      <c r="Q30" s="146">
        <f>P30*(1+$C30)+'Input Data'!$L32</f>
        <v>0</v>
      </c>
      <c r="R30" s="146">
        <f>Q30*(1+$C30)+'Input Data'!$L32</f>
        <v>0</v>
      </c>
      <c r="S30" s="146">
        <f>R30*(1+$C30)+'Input Data'!$L32</f>
        <v>0</v>
      </c>
      <c r="T30" s="146">
        <f>S30*(1+$C30)+'Input Data'!$L32</f>
        <v>0</v>
      </c>
      <c r="U30" s="146">
        <f>T30*(1+$C30)+'Input Data'!$L32</f>
        <v>0</v>
      </c>
      <c r="V30" s="146">
        <f>U30*(1+$C30)+'Input Data'!$L32</f>
        <v>0</v>
      </c>
      <c r="W30" s="146">
        <f>V30*(1+$C30)+'Input Data'!$L32</f>
        <v>0</v>
      </c>
      <c r="X30" s="146">
        <f>W30*(1+$C30)+'Input Data'!$L32</f>
        <v>0</v>
      </c>
      <c r="Y30" s="146">
        <f>X30*(1+$C30)+'Input Data'!$L32</f>
        <v>0</v>
      </c>
      <c r="Z30" s="146">
        <f>Y30*(1+$C30)+'Input Data'!$L32</f>
        <v>0</v>
      </c>
      <c r="AA30" s="146">
        <f>Z30*(1+$C30)+'Input Data'!$L32</f>
        <v>0</v>
      </c>
      <c r="AB30" s="146">
        <f>AA30*(1+$C30)+'Input Data'!$L32</f>
        <v>0</v>
      </c>
      <c r="AC30" s="146">
        <f>AB30*(1+$C30)+'Input Data'!$L32</f>
        <v>0</v>
      </c>
      <c r="AD30" s="146">
        <f>AC30*(1+$C30)+'Input Data'!$L32</f>
        <v>0</v>
      </c>
      <c r="AE30" s="146">
        <f>AD30*(1+$C30)+'Input Data'!$L32</f>
        <v>0</v>
      </c>
      <c r="AF30" s="146">
        <f>AE30*(1+$C30)+'Input Data'!$L32</f>
        <v>0</v>
      </c>
      <c r="AG30" s="146">
        <f>AF30*(1+$C30)+'Input Data'!$L32</f>
        <v>0</v>
      </c>
      <c r="AH30" s="146">
        <f>AG30*(1+$C30)+'Input Data'!$L32</f>
        <v>0</v>
      </c>
      <c r="AI30" s="146">
        <f>AH30*(1+$C30)+'Input Data'!$L32</f>
        <v>0</v>
      </c>
      <c r="AJ30" s="146">
        <f>AI30*(1+$C30)+'Input Data'!$L32</f>
        <v>0</v>
      </c>
      <c r="AK30" s="146">
        <f>AJ30*(1+$C30)+'Input Data'!$L32</f>
        <v>0</v>
      </c>
      <c r="AL30" s="146">
        <f>AK30*(1+$C30)+'Input Data'!$L32</f>
        <v>0</v>
      </c>
      <c r="AM30" s="146">
        <f>AL30*(1+$C30)+'Input Data'!$L32</f>
        <v>0</v>
      </c>
      <c r="AN30" s="146">
        <f>AM30*(1+$C30)+'Input Data'!$L32</f>
        <v>0</v>
      </c>
      <c r="AO30" s="146">
        <f>AN30*(1+$C30)+'Input Data'!$L32</f>
        <v>0</v>
      </c>
      <c r="AP30" s="146">
        <f>AO30*(1+$C30)+'Input Data'!$L32</f>
        <v>0</v>
      </c>
      <c r="AQ30" s="146">
        <f>AP30*(1+$C30)+'Input Data'!$L32</f>
        <v>0</v>
      </c>
      <c r="AR30" s="146">
        <f>AQ30*(1+$C30)+'Input Data'!$L32</f>
        <v>0</v>
      </c>
      <c r="AS30" s="146">
        <f>AR30*(1+$C30)+'Input Data'!$L32</f>
        <v>0</v>
      </c>
      <c r="AT30" s="146">
        <f>AS30*(1+$C30)+'Input Data'!$L32</f>
        <v>0</v>
      </c>
      <c r="AU30" s="146">
        <f>AT30*(1+$C30)+'Input Data'!$L32</f>
        <v>0</v>
      </c>
      <c r="AV30" s="146">
        <f>AU30*(1+$C30)+'Input Data'!$L32</f>
        <v>0</v>
      </c>
      <c r="AW30" s="146">
        <f>AV30*(1+$C30)+'Input Data'!$L32</f>
        <v>0</v>
      </c>
      <c r="AX30" s="146">
        <f>AW30*(1+$C30)+'Input Data'!$L32</f>
        <v>0</v>
      </c>
      <c r="AY30" s="146">
        <f>AX30*(1+$C30)+'Input Data'!$L32</f>
        <v>0</v>
      </c>
      <c r="AZ30" s="146">
        <f>AY30*(1+$C30)+'Input Data'!$L32</f>
        <v>0</v>
      </c>
    </row>
    <row r="31">
      <c r="B31" s="144" t="str">
        <f>'Input Data'!I33</f>
        <v/>
      </c>
      <c r="C31" s="145">
        <f>msci_ann_gr</f>
        <v>0.0717</v>
      </c>
      <c r="D31" s="146"/>
      <c r="E31" s="146">
        <f>D31*(1+$C31)+'Input Data'!$L33</f>
        <v>0</v>
      </c>
      <c r="F31" s="146">
        <f>E31*(1+$C31)+'Input Data'!$L33</f>
        <v>0</v>
      </c>
      <c r="G31" s="146">
        <f>F31*(1+$C31)+'Input Data'!$L33</f>
        <v>0</v>
      </c>
      <c r="H31" s="146">
        <f>G31*(1+$C31)+'Input Data'!$L33</f>
        <v>0</v>
      </c>
      <c r="I31" s="146">
        <f>H31*(1+$C31)+'Input Data'!$L33</f>
        <v>0</v>
      </c>
      <c r="J31" s="146">
        <f>I31*(1+$C31)+'Input Data'!$L33</f>
        <v>0</v>
      </c>
      <c r="K31" s="146">
        <f>J31*(1+$C31)+'Input Data'!$L33</f>
        <v>0</v>
      </c>
      <c r="L31" s="146">
        <f>K31*(1+$C31)+'Input Data'!$L33</f>
        <v>0</v>
      </c>
      <c r="M31" s="146">
        <f>L31*(1+$C31)+'Input Data'!$L33</f>
        <v>0</v>
      </c>
      <c r="N31" s="146">
        <f>M31*(1+$C31)+'Input Data'!$L33</f>
        <v>0</v>
      </c>
      <c r="O31" s="146">
        <f>N31*(1+$C31)+'Input Data'!$L33</f>
        <v>0</v>
      </c>
      <c r="P31" s="146">
        <f>O31*(1+$C31)+'Input Data'!$L33</f>
        <v>0</v>
      </c>
      <c r="Q31" s="146">
        <f>P31*(1+$C31)+'Input Data'!$L33</f>
        <v>0</v>
      </c>
      <c r="R31" s="146">
        <f>Q31*(1+$C31)+'Input Data'!$L33</f>
        <v>0</v>
      </c>
      <c r="S31" s="146">
        <f>R31*(1+$C31)+'Input Data'!$L33</f>
        <v>0</v>
      </c>
      <c r="T31" s="146">
        <f>S31*(1+$C31)+'Input Data'!$L33</f>
        <v>0</v>
      </c>
      <c r="U31" s="146">
        <f>T31*(1+$C31)+'Input Data'!$L33</f>
        <v>0</v>
      </c>
      <c r="V31" s="146">
        <f>U31*(1+$C31)+'Input Data'!$L33</f>
        <v>0</v>
      </c>
      <c r="W31" s="146">
        <f>V31*(1+$C31)+'Input Data'!$L33</f>
        <v>0</v>
      </c>
      <c r="X31" s="146">
        <f>W31*(1+$C31)+'Input Data'!$L33</f>
        <v>0</v>
      </c>
      <c r="Y31" s="146">
        <f>X31*(1+$C31)+'Input Data'!$L33</f>
        <v>0</v>
      </c>
      <c r="Z31" s="146">
        <f>Y31*(1+$C31)+'Input Data'!$L33</f>
        <v>0</v>
      </c>
      <c r="AA31" s="146">
        <f>Z31*(1+$C31)+'Input Data'!$L33</f>
        <v>0</v>
      </c>
      <c r="AB31" s="146">
        <f>AA31*(1+$C31)+'Input Data'!$L33</f>
        <v>0</v>
      </c>
      <c r="AC31" s="146">
        <f>AB31*(1+$C31)+'Input Data'!$L33</f>
        <v>0</v>
      </c>
      <c r="AD31" s="146">
        <f>AC31*(1+$C31)+'Input Data'!$L33</f>
        <v>0</v>
      </c>
      <c r="AE31" s="146">
        <f>AD31*(1+$C31)+'Input Data'!$L33</f>
        <v>0</v>
      </c>
      <c r="AF31" s="146">
        <f>AE31*(1+$C31)+'Input Data'!$L33</f>
        <v>0</v>
      </c>
      <c r="AG31" s="146">
        <f>AF31*(1+$C31)+'Input Data'!$L33</f>
        <v>0</v>
      </c>
      <c r="AH31" s="146">
        <f>AG31*(1+$C31)+'Input Data'!$L33</f>
        <v>0</v>
      </c>
      <c r="AI31" s="146">
        <f>AH31*(1+$C31)+'Input Data'!$L33</f>
        <v>0</v>
      </c>
      <c r="AJ31" s="146">
        <f>AI31*(1+$C31)+'Input Data'!$L33</f>
        <v>0</v>
      </c>
      <c r="AK31" s="146">
        <f>AJ31*(1+$C31)+'Input Data'!$L33</f>
        <v>0</v>
      </c>
      <c r="AL31" s="146">
        <f>AK31*(1+$C31)+'Input Data'!$L33</f>
        <v>0</v>
      </c>
      <c r="AM31" s="146">
        <f>AL31*(1+$C31)+'Input Data'!$L33</f>
        <v>0</v>
      </c>
      <c r="AN31" s="146">
        <f>AM31*(1+$C31)+'Input Data'!$L33</f>
        <v>0</v>
      </c>
      <c r="AO31" s="146">
        <f>AN31*(1+$C31)+'Input Data'!$L33</f>
        <v>0</v>
      </c>
      <c r="AP31" s="146">
        <f>AO31*(1+$C31)+'Input Data'!$L33</f>
        <v>0</v>
      </c>
      <c r="AQ31" s="146">
        <f>AP31*(1+$C31)+'Input Data'!$L33</f>
        <v>0</v>
      </c>
      <c r="AR31" s="146">
        <f>AQ31*(1+$C31)+'Input Data'!$L33</f>
        <v>0</v>
      </c>
      <c r="AS31" s="146">
        <f>AR31*(1+$C31)+'Input Data'!$L33</f>
        <v>0</v>
      </c>
      <c r="AT31" s="146">
        <f>AS31*(1+$C31)+'Input Data'!$L33</f>
        <v>0</v>
      </c>
      <c r="AU31" s="146">
        <f>AT31*(1+$C31)+'Input Data'!$L33</f>
        <v>0</v>
      </c>
      <c r="AV31" s="146">
        <f>AU31*(1+$C31)+'Input Data'!$L33</f>
        <v>0</v>
      </c>
      <c r="AW31" s="146">
        <f>AV31*(1+$C31)+'Input Data'!$L33</f>
        <v>0</v>
      </c>
      <c r="AX31" s="146">
        <f>AW31*(1+$C31)+'Input Data'!$L33</f>
        <v>0</v>
      </c>
      <c r="AY31" s="146">
        <f>AX31*(1+$C31)+'Input Data'!$L33</f>
        <v>0</v>
      </c>
      <c r="AZ31" s="146">
        <f>AY31*(1+$C31)+'Input Data'!$L33</f>
        <v>0</v>
      </c>
    </row>
    <row r="32">
      <c r="B32" s="144" t="str">
        <f>'Input Data'!I34</f>
        <v/>
      </c>
      <c r="C32" s="145">
        <f>msci_ann_gr</f>
        <v>0.0717</v>
      </c>
      <c r="D32" s="146"/>
      <c r="E32" s="146">
        <f>D32*(1+$C32)+'Input Data'!$L34</f>
        <v>0</v>
      </c>
      <c r="F32" s="146">
        <f>E32*(1+$C32)+'Input Data'!$L34</f>
        <v>0</v>
      </c>
      <c r="G32" s="146">
        <f>F32*(1+$C32)+'Input Data'!$L34</f>
        <v>0</v>
      </c>
      <c r="H32" s="146">
        <f>G32*(1+$C32)+'Input Data'!$L34</f>
        <v>0</v>
      </c>
      <c r="I32" s="146">
        <f>H32*(1+$C32)+'Input Data'!$L34</f>
        <v>0</v>
      </c>
      <c r="J32" s="146">
        <f>I32*(1+$C32)+'Input Data'!$L34</f>
        <v>0</v>
      </c>
      <c r="K32" s="146">
        <f>J32*(1+$C32)+'Input Data'!$L34</f>
        <v>0</v>
      </c>
      <c r="L32" s="146">
        <f>K32*(1+$C32)+'Input Data'!$L34</f>
        <v>0</v>
      </c>
      <c r="M32" s="146">
        <f>L32*(1+$C32)+'Input Data'!$L34</f>
        <v>0</v>
      </c>
      <c r="N32" s="146">
        <f>M32*(1+$C32)+'Input Data'!$L34</f>
        <v>0</v>
      </c>
      <c r="O32" s="146">
        <f>N32*(1+$C32)+'Input Data'!$L34</f>
        <v>0</v>
      </c>
      <c r="P32" s="146">
        <f>O32*(1+$C32)+'Input Data'!$L34</f>
        <v>0</v>
      </c>
      <c r="Q32" s="146">
        <f>P32*(1+$C32)+'Input Data'!$L34</f>
        <v>0</v>
      </c>
      <c r="R32" s="146">
        <f>Q32*(1+$C32)+'Input Data'!$L34</f>
        <v>0</v>
      </c>
      <c r="S32" s="146">
        <f>R32*(1+$C32)+'Input Data'!$L34</f>
        <v>0</v>
      </c>
      <c r="T32" s="146">
        <f>S32*(1+$C32)+'Input Data'!$L34</f>
        <v>0</v>
      </c>
      <c r="U32" s="146">
        <f>T32*(1+$C32)+'Input Data'!$L34</f>
        <v>0</v>
      </c>
      <c r="V32" s="146">
        <f>U32*(1+$C32)+'Input Data'!$L34</f>
        <v>0</v>
      </c>
      <c r="W32" s="146">
        <f>V32*(1+$C32)+'Input Data'!$L34</f>
        <v>0</v>
      </c>
      <c r="X32" s="146">
        <f>W32*(1+$C32)+'Input Data'!$L34</f>
        <v>0</v>
      </c>
      <c r="Y32" s="146">
        <f>X32*(1+$C32)+'Input Data'!$L34</f>
        <v>0</v>
      </c>
      <c r="Z32" s="146">
        <f>Y32*(1+$C32)+'Input Data'!$L34</f>
        <v>0</v>
      </c>
      <c r="AA32" s="146">
        <f>Z32*(1+$C32)+'Input Data'!$L34</f>
        <v>0</v>
      </c>
      <c r="AB32" s="146">
        <f>AA32*(1+$C32)+'Input Data'!$L34</f>
        <v>0</v>
      </c>
      <c r="AC32" s="146">
        <f>AB32*(1+$C32)+'Input Data'!$L34</f>
        <v>0</v>
      </c>
      <c r="AD32" s="146">
        <f>AC32*(1+$C32)+'Input Data'!$L34</f>
        <v>0</v>
      </c>
      <c r="AE32" s="146">
        <f>AD32*(1+$C32)+'Input Data'!$L34</f>
        <v>0</v>
      </c>
      <c r="AF32" s="146">
        <f>AE32*(1+$C32)+'Input Data'!$L34</f>
        <v>0</v>
      </c>
      <c r="AG32" s="146">
        <f>AF32*(1+$C32)+'Input Data'!$L34</f>
        <v>0</v>
      </c>
      <c r="AH32" s="146">
        <f>AG32*(1+$C32)+'Input Data'!$L34</f>
        <v>0</v>
      </c>
      <c r="AI32" s="146">
        <f>AH32*(1+$C32)+'Input Data'!$L34</f>
        <v>0</v>
      </c>
      <c r="AJ32" s="146">
        <f>AI32*(1+$C32)+'Input Data'!$L34</f>
        <v>0</v>
      </c>
      <c r="AK32" s="146">
        <f>AJ32*(1+$C32)+'Input Data'!$L34</f>
        <v>0</v>
      </c>
      <c r="AL32" s="146">
        <f>AK32*(1+$C32)+'Input Data'!$L34</f>
        <v>0</v>
      </c>
      <c r="AM32" s="146">
        <f>AL32*(1+$C32)+'Input Data'!$L34</f>
        <v>0</v>
      </c>
      <c r="AN32" s="146">
        <f>AM32*(1+$C32)+'Input Data'!$L34</f>
        <v>0</v>
      </c>
      <c r="AO32" s="146">
        <f>AN32*(1+$C32)+'Input Data'!$L34</f>
        <v>0</v>
      </c>
      <c r="AP32" s="146">
        <f>AO32*(1+$C32)+'Input Data'!$L34</f>
        <v>0</v>
      </c>
      <c r="AQ32" s="146">
        <f>AP32*(1+$C32)+'Input Data'!$L34</f>
        <v>0</v>
      </c>
      <c r="AR32" s="146">
        <f>AQ32*(1+$C32)+'Input Data'!$L34</f>
        <v>0</v>
      </c>
      <c r="AS32" s="146">
        <f>AR32*(1+$C32)+'Input Data'!$L34</f>
        <v>0</v>
      </c>
      <c r="AT32" s="146">
        <f>AS32*(1+$C32)+'Input Data'!$L34</f>
        <v>0</v>
      </c>
      <c r="AU32" s="146">
        <f>AT32*(1+$C32)+'Input Data'!$L34</f>
        <v>0</v>
      </c>
      <c r="AV32" s="146">
        <f>AU32*(1+$C32)+'Input Data'!$L34</f>
        <v>0</v>
      </c>
      <c r="AW32" s="146">
        <f>AV32*(1+$C32)+'Input Data'!$L34</f>
        <v>0</v>
      </c>
      <c r="AX32" s="146">
        <f>AW32*(1+$C32)+'Input Data'!$L34</f>
        <v>0</v>
      </c>
      <c r="AY32" s="146">
        <f>AX32*(1+$C32)+'Input Data'!$L34</f>
        <v>0</v>
      </c>
      <c r="AZ32" s="146">
        <f>AY32*(1+$C32)+'Input Data'!$L34</f>
        <v>0</v>
      </c>
    </row>
    <row r="33">
      <c r="B33" s="150" t="s">
        <v>301</v>
      </c>
      <c r="C33" s="151">
        <f>AVERAGE(C29:C32)</f>
        <v>0.0717</v>
      </c>
      <c r="D33" s="148">
        <f t="shared" ref="D33:AZ33" si="12">subtotal(9,D29:D32)</f>
        <v>111104</v>
      </c>
      <c r="E33" s="148">
        <f t="shared" si="12"/>
        <v>119070.1568</v>
      </c>
      <c r="F33" s="148">
        <f t="shared" si="12"/>
        <v>127607.487</v>
      </c>
      <c r="G33" s="148">
        <f t="shared" si="12"/>
        <v>136756.9439</v>
      </c>
      <c r="H33" s="148">
        <f t="shared" si="12"/>
        <v>146562.4167</v>
      </c>
      <c r="I33" s="148">
        <f t="shared" si="12"/>
        <v>157070.942</v>
      </c>
      <c r="J33" s="148">
        <f t="shared" si="12"/>
        <v>168332.9286</v>
      </c>
      <c r="K33" s="148">
        <f t="shared" si="12"/>
        <v>180402.3995</v>
      </c>
      <c r="L33" s="148">
        <f t="shared" si="12"/>
        <v>193337.2516</v>
      </c>
      <c r="M33" s="148">
        <f t="shared" si="12"/>
        <v>207199.5325</v>
      </c>
      <c r="N33" s="148">
        <f t="shared" si="12"/>
        <v>222055.739</v>
      </c>
      <c r="O33" s="148">
        <f t="shared" si="12"/>
        <v>237977.1355</v>
      </c>
      <c r="P33" s="148">
        <f t="shared" si="12"/>
        <v>255040.0961</v>
      </c>
      <c r="Q33" s="148">
        <f t="shared" si="12"/>
        <v>273326.471</v>
      </c>
      <c r="R33" s="148">
        <f t="shared" si="12"/>
        <v>292923.979</v>
      </c>
      <c r="S33" s="148">
        <f t="shared" si="12"/>
        <v>313926.6283</v>
      </c>
      <c r="T33" s="148">
        <f t="shared" si="12"/>
        <v>336435.1675</v>
      </c>
      <c r="U33" s="148">
        <f t="shared" si="12"/>
        <v>360557.569</v>
      </c>
      <c r="V33" s="148">
        <f t="shared" si="12"/>
        <v>386409.5467</v>
      </c>
      <c r="W33" s="148">
        <f t="shared" si="12"/>
        <v>414115.1112</v>
      </c>
      <c r="X33" s="148">
        <f t="shared" si="12"/>
        <v>443807.1647</v>
      </c>
      <c r="Y33" s="148">
        <f t="shared" si="12"/>
        <v>475628.1384</v>
      </c>
      <c r="Z33" s="148">
        <f t="shared" si="12"/>
        <v>509730.6759</v>
      </c>
      <c r="AA33" s="148">
        <f t="shared" si="12"/>
        <v>546278.3654</v>
      </c>
      <c r="AB33" s="148">
        <f t="shared" si="12"/>
        <v>585446.5242</v>
      </c>
      <c r="AC33" s="148">
        <f t="shared" si="12"/>
        <v>627423.04</v>
      </c>
      <c r="AD33" s="148">
        <f t="shared" si="12"/>
        <v>672409.2719</v>
      </c>
      <c r="AE33" s="148">
        <f t="shared" si="12"/>
        <v>720621.0167</v>
      </c>
      <c r="AF33" s="148">
        <f t="shared" si="12"/>
        <v>772289.5436</v>
      </c>
      <c r="AG33" s="148">
        <f t="shared" si="12"/>
        <v>827662.7039</v>
      </c>
      <c r="AH33" s="148">
        <f t="shared" si="12"/>
        <v>887006.1198</v>
      </c>
      <c r="AI33" s="148">
        <f t="shared" si="12"/>
        <v>950604.4586</v>
      </c>
      <c r="AJ33" s="148">
        <f t="shared" si="12"/>
        <v>1018762.798</v>
      </c>
      <c r="AK33" s="148">
        <f t="shared" si="12"/>
        <v>1091808.091</v>
      </c>
      <c r="AL33" s="148">
        <f t="shared" si="12"/>
        <v>1170090.731</v>
      </c>
      <c r="AM33" s="148">
        <f t="shared" si="12"/>
        <v>1253986.236</v>
      </c>
      <c r="AN33" s="148">
        <f t="shared" si="12"/>
        <v>1343897.05</v>
      </c>
      <c r="AO33" s="148">
        <f t="shared" si="12"/>
        <v>1440254.468</v>
      </c>
      <c r="AP33" s="148">
        <f t="shared" si="12"/>
        <v>1543520.713</v>
      </c>
      <c r="AQ33" s="148">
        <f t="shared" si="12"/>
        <v>1654191.149</v>
      </c>
      <c r="AR33" s="148">
        <f t="shared" si="12"/>
        <v>1772796.654</v>
      </c>
      <c r="AS33" s="148">
        <f t="shared" si="12"/>
        <v>1899906.174</v>
      </c>
      <c r="AT33" s="148">
        <f t="shared" si="12"/>
        <v>2036129.447</v>
      </c>
      <c r="AU33" s="148">
        <f t="shared" si="12"/>
        <v>2182119.928</v>
      </c>
      <c r="AV33" s="148">
        <f t="shared" si="12"/>
        <v>2338577.927</v>
      </c>
      <c r="AW33" s="148">
        <f t="shared" si="12"/>
        <v>2506253.964</v>
      </c>
      <c r="AX33" s="148">
        <f t="shared" si="12"/>
        <v>2685952.373</v>
      </c>
      <c r="AY33" s="148">
        <f t="shared" si="12"/>
        <v>2878535.159</v>
      </c>
      <c r="AZ33" s="148">
        <f t="shared" si="12"/>
        <v>3084926.129</v>
      </c>
    </row>
    <row r="34">
      <c r="B34" s="141" t="s">
        <v>202</v>
      </c>
      <c r="C34" s="142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149"/>
      <c r="AV34" s="149"/>
      <c r="AW34" s="149"/>
      <c r="AX34" s="149"/>
      <c r="AY34" s="149"/>
      <c r="AZ34" s="149"/>
    </row>
    <row r="35">
      <c r="B35" s="152" t="str">
        <f>'Input Data'!J39</f>
        <v>L&amp;G</v>
      </c>
      <c r="C35" s="145">
        <f>msci_ann_gr</f>
        <v>0.0717</v>
      </c>
      <c r="D35" s="146">
        <f>'Input Data'!K39</f>
        <v>53755.57</v>
      </c>
      <c r="E35" s="146">
        <f>D35*(1+$C35)+'Input Data'!$L39</f>
        <v>57609.84437</v>
      </c>
      <c r="F35" s="146">
        <f>E35*(1+$C35)+'Input Data'!$L39</f>
        <v>61740.47021</v>
      </c>
      <c r="G35" s="146">
        <f>F35*(1+$C35)+'Input Data'!$L39</f>
        <v>66167.26192</v>
      </c>
      <c r="H35" s="146">
        <f>G35*(1+$C35)+'Input Data'!$L39</f>
        <v>70911.4546</v>
      </c>
      <c r="I35" s="146">
        <f>H35*(1+$C35)+'Input Data'!$L39</f>
        <v>75995.8059</v>
      </c>
      <c r="J35" s="146">
        <f>I35*(1+$C35)+'Input Data'!$L39</f>
        <v>81444.70518</v>
      </c>
      <c r="K35" s="146">
        <f>J35*(1+$C35)+'Input Data'!$L39</f>
        <v>87284.29054</v>
      </c>
      <c r="L35" s="146">
        <f>K35*(1+$C35)+'Input Data'!$L39</f>
        <v>93542.57418</v>
      </c>
      <c r="M35" s="146">
        <f>L35*(1+$C35)+'Input Data'!$L39</f>
        <v>100249.5767</v>
      </c>
      <c r="N35" s="146">
        <f>M35*(1+$C35)+'Input Data'!$L39</f>
        <v>107437.4714</v>
      </c>
      <c r="O35" s="146">
        <f>N35*(1+$C35)+'Input Data'!$L39</f>
        <v>115140.7381</v>
      </c>
      <c r="P35" s="146">
        <f>O35*(1+$C35)+'Input Data'!$L39</f>
        <v>123396.329</v>
      </c>
      <c r="Q35" s="146">
        <f>P35*(1+$C35)+'Input Data'!$L39</f>
        <v>132243.8458</v>
      </c>
      <c r="R35" s="146">
        <f>Q35*(1+$C35)+'Input Data'!$L39</f>
        <v>141725.7296</v>
      </c>
      <c r="S35" s="146">
        <f>R35*(1+$C35)+'Input Data'!$L39</f>
        <v>151887.4644</v>
      </c>
      <c r="T35" s="146">
        <f>S35*(1+$C35)+'Input Data'!$L39</f>
        <v>162777.7956</v>
      </c>
      <c r="U35" s="146">
        <f>T35*(1+$C35)+'Input Data'!$L39</f>
        <v>174448.9635</v>
      </c>
      <c r="V35" s="146">
        <f>U35*(1+$C35)+'Input Data'!$L39</f>
        <v>186956.9542</v>
      </c>
      <c r="W35" s="146">
        <f>V35*(1+$C35)+'Input Data'!$L39</f>
        <v>200361.7678</v>
      </c>
      <c r="X35" s="146">
        <f>W35*(1+$C35)+'Input Data'!$L39</f>
        <v>214727.7065</v>
      </c>
      <c r="Y35" s="146">
        <f>X35*(1+$C35)+'Input Data'!$L39</f>
        <v>230123.6831</v>
      </c>
      <c r="Z35" s="146">
        <f>Y35*(1+$C35)+'Input Data'!$L39</f>
        <v>246623.5512</v>
      </c>
      <c r="AA35" s="146">
        <f>Z35*(1+$C35)+'Input Data'!$L39</f>
        <v>264306.4598</v>
      </c>
      <c r="AB35" s="146">
        <f>AA35*(1+$C35)+'Input Data'!$L39</f>
        <v>283257.233</v>
      </c>
      <c r="AC35" s="146">
        <f>AB35*(1+$C35)+'Input Data'!$L39</f>
        <v>303566.7766</v>
      </c>
      <c r="AD35" s="146">
        <f>AC35*(1+$C35)+'Input Data'!$L39</f>
        <v>325332.5145</v>
      </c>
      <c r="AE35" s="146">
        <f>AD35*(1+$C35)+'Input Data'!$L39</f>
        <v>348658.8557</v>
      </c>
      <c r="AF35" s="146">
        <f>AE35*(1+$C35)+'Input Data'!$L39</f>
        <v>373657.6957</v>
      </c>
      <c r="AG35" s="146">
        <f>AF35*(1+$C35)+'Input Data'!$L39</f>
        <v>400448.9525</v>
      </c>
      <c r="AH35" s="146">
        <f>AG35*(1+$C35)+'Input Data'!$L39</f>
        <v>429161.1424</v>
      </c>
      <c r="AI35" s="146">
        <f>AH35*(1+$C35)+'Input Data'!$L39</f>
        <v>459931.9963</v>
      </c>
      <c r="AJ35" s="146">
        <f>AI35*(1+$C35)+'Input Data'!$L39</f>
        <v>492909.1204</v>
      </c>
      <c r="AK35" s="146">
        <f>AJ35*(1+$C35)+'Input Data'!$L39</f>
        <v>528250.7044</v>
      </c>
      <c r="AL35" s="146">
        <f>AK35*(1+$C35)+'Input Data'!$L39</f>
        <v>566126.2799</v>
      </c>
      <c r="AM35" s="146">
        <f>AL35*(1+$C35)+'Input Data'!$L39</f>
        <v>606717.5341</v>
      </c>
      <c r="AN35" s="146">
        <f>AM35*(1+$C35)+'Input Data'!$L39</f>
        <v>650219.1813</v>
      </c>
      <c r="AO35" s="146">
        <f>AN35*(1+$C35)+'Input Data'!$L39</f>
        <v>696839.8966</v>
      </c>
      <c r="AP35" s="146">
        <f>AO35*(1+$C35)+'Input Data'!$L39</f>
        <v>746803.3172</v>
      </c>
      <c r="AQ35" s="146">
        <f>AP35*(1+$C35)+'Input Data'!$L39</f>
        <v>800349.115</v>
      </c>
      <c r="AR35" s="146">
        <f>AQ35*(1+$C35)+'Input Data'!$L39</f>
        <v>857734.1466</v>
      </c>
      <c r="AS35" s="146">
        <f>AR35*(1+$C35)+'Input Data'!$L39</f>
        <v>919233.6849</v>
      </c>
      <c r="AT35" s="146">
        <f>AS35*(1+$C35)+'Input Data'!$L39</f>
        <v>985142.7401</v>
      </c>
      <c r="AU35" s="146">
        <f>AT35*(1+$C35)+'Input Data'!$L39</f>
        <v>1055777.475</v>
      </c>
      <c r="AV35" s="146">
        <f>AU35*(1+$C35)+'Input Data'!$L39</f>
        <v>1131476.72</v>
      </c>
      <c r="AW35" s="146">
        <f>AV35*(1+$C35)+'Input Data'!$L39</f>
        <v>1212603.6</v>
      </c>
      <c r="AX35" s="146">
        <f>AW35*(1+$C35)+'Input Data'!$L39</f>
        <v>1299547.278</v>
      </c>
      <c r="AY35" s="146">
        <f>AX35*(1+$C35)+'Input Data'!$L39</f>
        <v>1392724.818</v>
      </c>
      <c r="AZ35" s="146">
        <f>AY35*(1+$C35)+'Input Data'!$L39</f>
        <v>1492583.188</v>
      </c>
    </row>
    <row r="36">
      <c r="B36" s="152" t="str">
        <f>'Input Data'!J40</f>
        <v>L&amp;G</v>
      </c>
      <c r="C36" s="145">
        <f>msci_ann_gr</f>
        <v>0.0717</v>
      </c>
      <c r="D36" s="146">
        <f>'Input Data'!K40</f>
        <v>57674.1</v>
      </c>
      <c r="E36" s="146">
        <f>D36*(1+$C36)+'Input Data'!$L40</f>
        <v>61809.33297</v>
      </c>
      <c r="F36" s="146">
        <f>E36*(1+$C36)+'Input Data'!$L40</f>
        <v>66241.06214</v>
      </c>
      <c r="G36" s="146">
        <f>F36*(1+$C36)+'Input Data'!$L40</f>
        <v>70990.5463</v>
      </c>
      <c r="H36" s="146">
        <f>G36*(1+$C36)+'Input Data'!$L40</f>
        <v>76080.56847</v>
      </c>
      <c r="I36" s="146">
        <f>H36*(1+$C36)+'Input Data'!$L40</f>
        <v>81535.54523</v>
      </c>
      <c r="J36" s="146">
        <f>I36*(1+$C36)+'Input Data'!$L40</f>
        <v>87381.64382</v>
      </c>
      <c r="K36" s="146">
        <f>J36*(1+$C36)+'Input Data'!$L40</f>
        <v>93646.90768</v>
      </c>
      <c r="L36" s="146">
        <f>K36*(1+$C36)+'Input Data'!$L40</f>
        <v>100361.391</v>
      </c>
      <c r="M36" s="146">
        <f>L36*(1+$C36)+'Input Data'!$L40</f>
        <v>107557.3027</v>
      </c>
      <c r="N36" s="146">
        <f>M36*(1+$C36)+'Input Data'!$L40</f>
        <v>115269.1613</v>
      </c>
      <c r="O36" s="146">
        <f>N36*(1+$C36)+'Input Data'!$L40</f>
        <v>123533.9602</v>
      </c>
      <c r="P36" s="146">
        <f>O36*(1+$C36)+'Input Data'!$L40</f>
        <v>132391.3451</v>
      </c>
      <c r="Q36" s="146">
        <f>P36*(1+$C36)+'Input Data'!$L40</f>
        <v>141883.8046</v>
      </c>
      <c r="R36" s="146">
        <f>Q36*(1+$C36)+'Input Data'!$L40</f>
        <v>152056.8733</v>
      </c>
      <c r="S36" s="146">
        <f>R36*(1+$C36)+'Input Data'!$L40</f>
        <v>162959.3512</v>
      </c>
      <c r="T36" s="146">
        <f>S36*(1+$C36)+'Input Data'!$L40</f>
        <v>174643.5366</v>
      </c>
      <c r="U36" s="146">
        <f>T36*(1+$C36)+'Input Data'!$L40</f>
        <v>187165.4782</v>
      </c>
      <c r="V36" s="146">
        <f>U36*(1+$C36)+'Input Data'!$L40</f>
        <v>200585.243</v>
      </c>
      <c r="W36" s="146">
        <f>V36*(1+$C36)+'Input Data'!$L40</f>
        <v>214967.2049</v>
      </c>
      <c r="X36" s="146">
        <f>W36*(1+$C36)+'Input Data'!$L40</f>
        <v>230380.3535</v>
      </c>
      <c r="Y36" s="146">
        <f>X36*(1+$C36)+'Input Data'!$L40</f>
        <v>246898.6249</v>
      </c>
      <c r="Z36" s="146">
        <f>Y36*(1+$C36)+'Input Data'!$L40</f>
        <v>264601.2563</v>
      </c>
      <c r="AA36" s="146">
        <f>Z36*(1+$C36)+'Input Data'!$L40</f>
        <v>283573.1663</v>
      </c>
      <c r="AB36" s="146">
        <f>AA36*(1+$C36)+'Input Data'!$L40</f>
        <v>303905.3624</v>
      </c>
      <c r="AC36" s="146">
        <f>AB36*(1+$C36)+'Input Data'!$L40</f>
        <v>325695.3768</v>
      </c>
      <c r="AD36" s="146">
        <f>AC36*(1+$C36)+'Input Data'!$L40</f>
        <v>349047.7354</v>
      </c>
      <c r="AE36" s="146">
        <f>AD36*(1+$C36)+'Input Data'!$L40</f>
        <v>374074.458</v>
      </c>
      <c r="AF36" s="146">
        <f>AE36*(1+$C36)+'Input Data'!$L40</f>
        <v>400895.5966</v>
      </c>
      <c r="AG36" s="146">
        <f>AF36*(1+$C36)+'Input Data'!$L40</f>
        <v>429639.8109</v>
      </c>
      <c r="AH36" s="146">
        <f>AG36*(1+$C36)+'Input Data'!$L40</f>
        <v>460444.9854</v>
      </c>
      <c r="AI36" s="146">
        <f>AH36*(1+$C36)+'Input Data'!$L40</f>
        <v>493458.8908</v>
      </c>
      <c r="AJ36" s="146">
        <f>AI36*(1+$C36)+'Input Data'!$L40</f>
        <v>528839.8933</v>
      </c>
      <c r="AK36" s="146">
        <f>AJ36*(1+$C36)+'Input Data'!$L40</f>
        <v>566757.7136</v>
      </c>
      <c r="AL36" s="146">
        <f>AK36*(1+$C36)+'Input Data'!$L40</f>
        <v>607394.2417</v>
      </c>
      <c r="AM36" s="146">
        <f>AL36*(1+$C36)+'Input Data'!$L40</f>
        <v>650944.4088</v>
      </c>
      <c r="AN36" s="146">
        <f>AM36*(1+$C36)+'Input Data'!$L40</f>
        <v>697617.1229</v>
      </c>
      <c r="AO36" s="146">
        <f>AN36*(1+$C36)+'Input Data'!$L40</f>
        <v>747636.2706</v>
      </c>
      <c r="AP36" s="146">
        <f>AO36*(1+$C36)+'Input Data'!$L40</f>
        <v>801241.7913</v>
      </c>
      <c r="AQ36" s="146">
        <f>AP36*(1+$C36)+'Input Data'!$L40</f>
        <v>858690.8277</v>
      </c>
      <c r="AR36" s="146">
        <f>AQ36*(1+$C36)+'Input Data'!$L40</f>
        <v>920258.96</v>
      </c>
      <c r="AS36" s="146">
        <f>AR36*(1+$C36)+'Input Data'!$L40</f>
        <v>986241.5275</v>
      </c>
      <c r="AT36" s="146">
        <f>AS36*(1+$C36)+'Input Data'!$L40</f>
        <v>1056955.045</v>
      </c>
      <c r="AU36" s="146">
        <f>AT36*(1+$C36)+'Input Data'!$L40</f>
        <v>1132738.722</v>
      </c>
      <c r="AV36" s="146">
        <f>AU36*(1+$C36)+'Input Data'!$L40</f>
        <v>1213956.088</v>
      </c>
      <c r="AW36" s="146">
        <f>AV36*(1+$C36)+'Input Data'!$L40</f>
        <v>1300996.74</v>
      </c>
      <c r="AX36" s="146">
        <f>AW36*(1+$C36)+'Input Data'!$L40</f>
        <v>1394278.206</v>
      </c>
      <c r="AY36" s="146">
        <f>AX36*(1+$C36)+'Input Data'!$L40</f>
        <v>1494247.953</v>
      </c>
      <c r="AZ36" s="146">
        <f>AY36*(1+$C36)+'Input Data'!$L40</f>
        <v>1601385.531</v>
      </c>
    </row>
    <row r="37">
      <c r="B37" s="152" t="str">
        <f>'Input Data'!J41</f>
        <v/>
      </c>
      <c r="C37" s="145">
        <f>msci_ann_gr</f>
        <v>0.0717</v>
      </c>
      <c r="D37" s="146" t="str">
        <f>'Input Data'!K41</f>
        <v/>
      </c>
      <c r="E37" s="146">
        <f>D37*(1+C37)+'Input Data'!$L41</f>
        <v>0</v>
      </c>
      <c r="F37" s="146">
        <f>E37*(1+$C37)+'Input Data'!$L41</f>
        <v>0</v>
      </c>
      <c r="G37" s="146">
        <f>F37*(1+$C37)+'Input Data'!$L41</f>
        <v>0</v>
      </c>
      <c r="H37" s="146">
        <f>G37*(1+$C37)+'Input Data'!$L41</f>
        <v>0</v>
      </c>
      <c r="I37" s="146">
        <f>H37*(1+$C37)+'Input Data'!$L41</f>
        <v>0</v>
      </c>
      <c r="J37" s="146">
        <f>I37*(1+$C37)+'Input Data'!$L41</f>
        <v>0</v>
      </c>
      <c r="K37" s="146">
        <f>J37*(1+$C37)+'Input Data'!$L41</f>
        <v>0</v>
      </c>
      <c r="L37" s="146">
        <f>K37*(1+$C37)+'Input Data'!$L41</f>
        <v>0</v>
      </c>
      <c r="M37" s="146">
        <f>L37*(1+$C37)+'Input Data'!$L41</f>
        <v>0</v>
      </c>
      <c r="N37" s="146">
        <f>M37*(1+$C37)+'Input Data'!$L41</f>
        <v>0</v>
      </c>
      <c r="O37" s="146">
        <f>N37*(1+$C37)+'Input Data'!$L41</f>
        <v>0</v>
      </c>
      <c r="P37" s="146">
        <f>O37*(1+$C37)+'Input Data'!$L41</f>
        <v>0</v>
      </c>
      <c r="Q37" s="146">
        <f>P37*(1+$C37)+'Input Data'!$L41</f>
        <v>0</v>
      </c>
      <c r="R37" s="146">
        <f>Q37*(1+$C37)+'Input Data'!$L41</f>
        <v>0</v>
      </c>
      <c r="S37" s="146">
        <f>R37*(1+$C37)+'Input Data'!$L41</f>
        <v>0</v>
      </c>
      <c r="T37" s="146">
        <f>S37*(1+$C37)+'Input Data'!$L41</f>
        <v>0</v>
      </c>
      <c r="U37" s="146">
        <f>T37*(1+$C37)+'Input Data'!$L41</f>
        <v>0</v>
      </c>
      <c r="V37" s="146">
        <f>U37*(1+$C37)+'Input Data'!$L41</f>
        <v>0</v>
      </c>
      <c r="W37" s="146">
        <f>V37*(1+$C37)+'Input Data'!$L41</f>
        <v>0</v>
      </c>
      <c r="X37" s="146">
        <f>W37*(1+$C37)+'Input Data'!$L41</f>
        <v>0</v>
      </c>
      <c r="Y37" s="146">
        <f>X37*(1+$C37)+'Input Data'!$L41</f>
        <v>0</v>
      </c>
      <c r="Z37" s="146">
        <f>Y37*(1+$C37)+'Input Data'!$L41</f>
        <v>0</v>
      </c>
      <c r="AA37" s="146">
        <f>Z37*(1+$C37)+'Input Data'!$L41</f>
        <v>0</v>
      </c>
      <c r="AB37" s="146">
        <f>AA37*(1+$C37)+'Input Data'!$L41</f>
        <v>0</v>
      </c>
      <c r="AC37" s="146">
        <f>AB37*(1+$C37)+'Input Data'!$L41</f>
        <v>0</v>
      </c>
      <c r="AD37" s="146">
        <f>AC37*(1+$C37)+'Input Data'!$L41</f>
        <v>0</v>
      </c>
      <c r="AE37" s="146">
        <f>AD37*(1+$C37)+'Input Data'!$L41</f>
        <v>0</v>
      </c>
      <c r="AF37" s="146">
        <f>AE37*(1+$C37)+'Input Data'!$L41</f>
        <v>0</v>
      </c>
      <c r="AG37" s="146">
        <f>AF37*(1+$C37)+'Input Data'!$L41</f>
        <v>0</v>
      </c>
      <c r="AH37" s="146">
        <f>AG37*(1+$C37)+'Input Data'!$L41</f>
        <v>0</v>
      </c>
      <c r="AI37" s="146">
        <f>AH37*(1+$C37)+'Input Data'!$L41</f>
        <v>0</v>
      </c>
      <c r="AJ37" s="146">
        <f>AI37*(1+$C37)+'Input Data'!$L41</f>
        <v>0</v>
      </c>
      <c r="AK37" s="146">
        <f>AJ37*(1+$C37)+'Input Data'!$L41</f>
        <v>0</v>
      </c>
      <c r="AL37" s="146">
        <f>AK37*(1+$C37)+'Input Data'!$L41</f>
        <v>0</v>
      </c>
      <c r="AM37" s="146">
        <f>AL37*(1+$C37)+'Input Data'!$L41</f>
        <v>0</v>
      </c>
      <c r="AN37" s="146">
        <f>AM37*(1+$C37)+'Input Data'!$L41</f>
        <v>0</v>
      </c>
      <c r="AO37" s="146">
        <f>AN37*(1+$C37)+'Input Data'!$L41</f>
        <v>0</v>
      </c>
      <c r="AP37" s="146">
        <f>AO37*(1+$C37)+'Input Data'!$L41</f>
        <v>0</v>
      </c>
      <c r="AQ37" s="146">
        <f>AP37*(1+$C37)+'Input Data'!$L41</f>
        <v>0</v>
      </c>
      <c r="AR37" s="146">
        <f>AQ37*(1+$C37)+'Input Data'!$L41</f>
        <v>0</v>
      </c>
      <c r="AS37" s="146">
        <f>AR37*(1+$C37)+'Input Data'!$L41</f>
        <v>0</v>
      </c>
      <c r="AT37" s="146">
        <f>AS37*(1+$C37)+'Input Data'!$L41</f>
        <v>0</v>
      </c>
      <c r="AU37" s="146">
        <f>AT37*(1+$C37)+'Input Data'!$L41</f>
        <v>0</v>
      </c>
      <c r="AV37" s="146">
        <f>AU37*(1+$C37)+'Input Data'!$L41</f>
        <v>0</v>
      </c>
      <c r="AW37" s="146">
        <f>AV37*(1+$C37)+'Input Data'!$L41</f>
        <v>0</v>
      </c>
      <c r="AX37" s="146">
        <f>AW37*(1+$C37)+'Input Data'!$L41</f>
        <v>0</v>
      </c>
      <c r="AY37" s="146">
        <f>AX37*(1+$C37)+'Input Data'!$L41</f>
        <v>0</v>
      </c>
      <c r="AZ37" s="146">
        <f>AY37*(1+$C37)+'Input Data'!$L41</f>
        <v>0</v>
      </c>
    </row>
    <row r="38">
      <c r="B38" s="152" t="str">
        <f>'Input Data'!J42</f>
        <v/>
      </c>
      <c r="C38" s="145">
        <f>msci_ann_gr</f>
        <v>0.0717</v>
      </c>
      <c r="D38" s="146" t="str">
        <f>'Input Data'!K42</f>
        <v/>
      </c>
      <c r="E38" s="146">
        <f>D38*(1+C38)+'Input Data'!$L42</f>
        <v>0</v>
      </c>
      <c r="F38" s="146">
        <f>E38*(1+$C38)+'Input Data'!$L42</f>
        <v>0</v>
      </c>
      <c r="G38" s="146">
        <f>F38*(1+$C38)+'Input Data'!$L42</f>
        <v>0</v>
      </c>
      <c r="H38" s="146">
        <f>G38*(1+$C38)+'Input Data'!$L42</f>
        <v>0</v>
      </c>
      <c r="I38" s="146">
        <f>H38*(1+$C38)+'Input Data'!$L42</f>
        <v>0</v>
      </c>
      <c r="J38" s="146">
        <f>I38*(1+$C38)+'Input Data'!$L42</f>
        <v>0</v>
      </c>
      <c r="K38" s="146">
        <f>J38*(1+$C38)+'Input Data'!$L42</f>
        <v>0</v>
      </c>
      <c r="L38" s="146">
        <f>K38*(1+$C38)+'Input Data'!$L42</f>
        <v>0</v>
      </c>
      <c r="M38" s="146">
        <f>L38*(1+$C38)+'Input Data'!$L42</f>
        <v>0</v>
      </c>
      <c r="N38" s="146">
        <f>M38*(1+$C38)+'Input Data'!$L42</f>
        <v>0</v>
      </c>
      <c r="O38" s="146">
        <f>N38*(1+$C38)+'Input Data'!$L42</f>
        <v>0</v>
      </c>
      <c r="P38" s="146">
        <f>O38*(1+$C38)+'Input Data'!$L42</f>
        <v>0</v>
      </c>
      <c r="Q38" s="146">
        <f>P38*(1+$C38)+'Input Data'!$L42</f>
        <v>0</v>
      </c>
      <c r="R38" s="146">
        <f>Q38*(1+$C38)+'Input Data'!$L42</f>
        <v>0</v>
      </c>
      <c r="S38" s="146">
        <f>R38*(1+$C38)+'Input Data'!$L42</f>
        <v>0</v>
      </c>
      <c r="T38" s="146">
        <f>S38*(1+$C38)+'Input Data'!$L42</f>
        <v>0</v>
      </c>
      <c r="U38" s="146">
        <f>T38*(1+$C38)+'Input Data'!$L42</f>
        <v>0</v>
      </c>
      <c r="V38" s="146">
        <f>U38*(1+$C38)+'Input Data'!$L42</f>
        <v>0</v>
      </c>
      <c r="W38" s="146">
        <f>V38*(1+$C38)+'Input Data'!$L42</f>
        <v>0</v>
      </c>
      <c r="X38" s="146">
        <f>W38*(1+$C38)+'Input Data'!$L42</f>
        <v>0</v>
      </c>
      <c r="Y38" s="146">
        <f>X38*(1+$C38)+'Input Data'!$L42</f>
        <v>0</v>
      </c>
      <c r="Z38" s="146">
        <f>Y38*(1+$C38)+'Input Data'!$L42</f>
        <v>0</v>
      </c>
      <c r="AA38" s="146">
        <f>Z38*(1+$C38)+'Input Data'!$L42</f>
        <v>0</v>
      </c>
      <c r="AB38" s="146">
        <f>AA38*(1+$C38)+'Input Data'!$L42</f>
        <v>0</v>
      </c>
      <c r="AC38" s="146">
        <f>AB38*(1+$C38)+'Input Data'!$L42</f>
        <v>0</v>
      </c>
      <c r="AD38" s="146">
        <f>AC38*(1+$C38)+'Input Data'!$L42</f>
        <v>0</v>
      </c>
      <c r="AE38" s="146">
        <f>AD38*(1+$C38)+'Input Data'!$L42</f>
        <v>0</v>
      </c>
      <c r="AF38" s="146">
        <f>AE38*(1+$C38)+'Input Data'!$L42</f>
        <v>0</v>
      </c>
      <c r="AG38" s="146">
        <f>AF38*(1+$C38)+'Input Data'!$L42</f>
        <v>0</v>
      </c>
      <c r="AH38" s="146">
        <f>AG38*(1+$C38)+'Input Data'!$L42</f>
        <v>0</v>
      </c>
      <c r="AI38" s="146">
        <f>AH38*(1+$C38)+'Input Data'!$L42</f>
        <v>0</v>
      </c>
      <c r="AJ38" s="146">
        <f>AI38*(1+$C38)+'Input Data'!$L42</f>
        <v>0</v>
      </c>
      <c r="AK38" s="146">
        <f>AJ38*(1+$C38)+'Input Data'!$L42</f>
        <v>0</v>
      </c>
      <c r="AL38" s="146">
        <f>AK38*(1+$C38)+'Input Data'!$L42</f>
        <v>0</v>
      </c>
      <c r="AM38" s="146">
        <f>AL38*(1+$C38)+'Input Data'!$L42</f>
        <v>0</v>
      </c>
      <c r="AN38" s="146">
        <f>AM38*(1+$C38)+'Input Data'!$L42</f>
        <v>0</v>
      </c>
      <c r="AO38" s="146">
        <f>AN38*(1+$C38)+'Input Data'!$L42</f>
        <v>0</v>
      </c>
      <c r="AP38" s="146">
        <f>AO38*(1+$C38)+'Input Data'!$L42</f>
        <v>0</v>
      </c>
      <c r="AQ38" s="146">
        <f>AP38*(1+$C38)+'Input Data'!$L42</f>
        <v>0</v>
      </c>
      <c r="AR38" s="146">
        <f>AQ38*(1+$C38)+'Input Data'!$L42</f>
        <v>0</v>
      </c>
      <c r="AS38" s="146">
        <f>AR38*(1+$C38)+'Input Data'!$L42</f>
        <v>0</v>
      </c>
      <c r="AT38" s="146">
        <f>AS38*(1+$C38)+'Input Data'!$L42</f>
        <v>0</v>
      </c>
      <c r="AU38" s="146">
        <f>AT38*(1+$C38)+'Input Data'!$L42</f>
        <v>0</v>
      </c>
      <c r="AV38" s="146">
        <f>AU38*(1+$C38)+'Input Data'!$L42</f>
        <v>0</v>
      </c>
      <c r="AW38" s="146">
        <f>AV38*(1+$C38)+'Input Data'!$L42</f>
        <v>0</v>
      </c>
      <c r="AX38" s="146">
        <f>AW38*(1+$C38)+'Input Data'!$L42</f>
        <v>0</v>
      </c>
      <c r="AY38" s="146">
        <f>AX38*(1+$C38)+'Input Data'!$L42</f>
        <v>0</v>
      </c>
      <c r="AZ38" s="146">
        <f>AY38*(1+$C38)+'Input Data'!$L42</f>
        <v>0</v>
      </c>
    </row>
    <row r="39">
      <c r="B39" s="150" t="s">
        <v>302</v>
      </c>
      <c r="C39" s="153"/>
      <c r="D39" s="148">
        <f t="shared" ref="D39:AZ39" si="13">subtotal(9,D35:D38)</f>
        <v>111429.67</v>
      </c>
      <c r="E39" s="148">
        <f t="shared" si="13"/>
        <v>119419.1773</v>
      </c>
      <c r="F39" s="148">
        <f t="shared" si="13"/>
        <v>127981.5324</v>
      </c>
      <c r="G39" s="148">
        <f t="shared" si="13"/>
        <v>137157.8082</v>
      </c>
      <c r="H39" s="148">
        <f t="shared" si="13"/>
        <v>146992.0231</v>
      </c>
      <c r="I39" s="148">
        <f t="shared" si="13"/>
        <v>157531.3511</v>
      </c>
      <c r="J39" s="148">
        <f t="shared" si="13"/>
        <v>168826.349</v>
      </c>
      <c r="K39" s="148">
        <f t="shared" si="13"/>
        <v>180931.1982</v>
      </c>
      <c r="L39" s="148">
        <f t="shared" si="13"/>
        <v>193903.9651</v>
      </c>
      <c r="M39" s="148">
        <f t="shared" si="13"/>
        <v>207806.8794</v>
      </c>
      <c r="N39" s="148">
        <f t="shared" si="13"/>
        <v>222706.6327</v>
      </c>
      <c r="O39" s="148">
        <f t="shared" si="13"/>
        <v>238674.6983</v>
      </c>
      <c r="P39" s="148">
        <f t="shared" si="13"/>
        <v>255787.6741</v>
      </c>
      <c r="Q39" s="148">
        <f t="shared" si="13"/>
        <v>274127.6504</v>
      </c>
      <c r="R39" s="148">
        <f t="shared" si="13"/>
        <v>293782.6029</v>
      </c>
      <c r="S39" s="148">
        <f t="shared" si="13"/>
        <v>314846.8155</v>
      </c>
      <c r="T39" s="148">
        <f t="shared" si="13"/>
        <v>337421.3322</v>
      </c>
      <c r="U39" s="148">
        <f t="shared" si="13"/>
        <v>361614.4417</v>
      </c>
      <c r="V39" s="148">
        <f t="shared" si="13"/>
        <v>387542.1972</v>
      </c>
      <c r="W39" s="148">
        <f t="shared" si="13"/>
        <v>415328.9727</v>
      </c>
      <c r="X39" s="148">
        <f t="shared" si="13"/>
        <v>445108.0601</v>
      </c>
      <c r="Y39" s="148">
        <f t="shared" si="13"/>
        <v>477022.308</v>
      </c>
      <c r="Z39" s="148">
        <f t="shared" si="13"/>
        <v>511224.8075</v>
      </c>
      <c r="AA39" s="148">
        <f t="shared" si="13"/>
        <v>547879.6261</v>
      </c>
      <c r="AB39" s="148">
        <f t="shared" si="13"/>
        <v>587162.5953</v>
      </c>
      <c r="AC39" s="148">
        <f t="shared" si="13"/>
        <v>629262.1534</v>
      </c>
      <c r="AD39" s="148">
        <f t="shared" si="13"/>
        <v>674380.2498</v>
      </c>
      <c r="AE39" s="148">
        <f t="shared" si="13"/>
        <v>722733.3137</v>
      </c>
      <c r="AF39" s="148">
        <f t="shared" si="13"/>
        <v>774553.2923</v>
      </c>
      <c r="AG39" s="148">
        <f t="shared" si="13"/>
        <v>830088.7634</v>
      </c>
      <c r="AH39" s="148">
        <f t="shared" si="13"/>
        <v>889606.1277</v>
      </c>
      <c r="AI39" s="148">
        <f t="shared" si="13"/>
        <v>953390.8871</v>
      </c>
      <c r="AJ39" s="148">
        <f t="shared" si="13"/>
        <v>1021749.014</v>
      </c>
      <c r="AK39" s="148">
        <f t="shared" si="13"/>
        <v>1095008.418</v>
      </c>
      <c r="AL39" s="148">
        <f t="shared" si="13"/>
        <v>1173520.522</v>
      </c>
      <c r="AM39" s="148">
        <f t="shared" si="13"/>
        <v>1257661.943</v>
      </c>
      <c r="AN39" s="148">
        <f t="shared" si="13"/>
        <v>1347836.304</v>
      </c>
      <c r="AO39" s="148">
        <f t="shared" si="13"/>
        <v>1444476.167</v>
      </c>
      <c r="AP39" s="148">
        <f t="shared" si="13"/>
        <v>1548045.108</v>
      </c>
      <c r="AQ39" s="148">
        <f t="shared" si="13"/>
        <v>1659039.943</v>
      </c>
      <c r="AR39" s="148">
        <f t="shared" si="13"/>
        <v>1777993.107</v>
      </c>
      <c r="AS39" s="148">
        <f t="shared" si="13"/>
        <v>1905475.212</v>
      </c>
      <c r="AT39" s="148">
        <f t="shared" si="13"/>
        <v>2042097.785</v>
      </c>
      <c r="AU39" s="148">
        <f t="shared" si="13"/>
        <v>2188516.196</v>
      </c>
      <c r="AV39" s="148">
        <f t="shared" si="13"/>
        <v>2345432.808</v>
      </c>
      <c r="AW39" s="148">
        <f t="shared" si="13"/>
        <v>2513600.34</v>
      </c>
      <c r="AX39" s="148">
        <f t="shared" si="13"/>
        <v>2693825.484</v>
      </c>
      <c r="AY39" s="148">
        <f t="shared" si="13"/>
        <v>2886972.771</v>
      </c>
      <c r="AZ39" s="148">
        <f t="shared" si="13"/>
        <v>3093968.719</v>
      </c>
    </row>
    <row r="40">
      <c r="B40" s="154" t="s">
        <v>303</v>
      </c>
      <c r="C40" s="155"/>
      <c r="D40" s="156">
        <f t="shared" ref="D40:AZ40" si="14">D27+D33+D39</f>
        <v>222533.67</v>
      </c>
      <c r="E40" s="156">
        <f t="shared" si="14"/>
        <v>235334.8941</v>
      </c>
      <c r="F40" s="156">
        <f t="shared" si="14"/>
        <v>303280.1394</v>
      </c>
      <c r="G40" s="156">
        <f t="shared" si="14"/>
        <v>372451.4321</v>
      </c>
      <c r="H40" s="156">
        <f t="shared" si="14"/>
        <v>442936.6798</v>
      </c>
      <c r="I40" s="156">
        <f t="shared" si="14"/>
        <v>514830.0931</v>
      </c>
      <c r="J40" s="156">
        <f t="shared" si="14"/>
        <v>588232.6376</v>
      </c>
      <c r="K40" s="156">
        <f t="shared" si="14"/>
        <v>663252.5178</v>
      </c>
      <c r="L40" s="156">
        <f t="shared" si="14"/>
        <v>740005.6967</v>
      </c>
      <c r="M40" s="156">
        <f t="shared" si="14"/>
        <v>818616.452</v>
      </c>
      <c r="N40" s="156">
        <f t="shared" si="14"/>
        <v>899217.9717</v>
      </c>
      <c r="O40" s="156">
        <f t="shared" si="14"/>
        <v>981952.9938</v>
      </c>
      <c r="P40" s="156">
        <f t="shared" si="14"/>
        <v>1066974.49</v>
      </c>
      <c r="Q40" s="156">
        <f t="shared" si="14"/>
        <v>1154446.401</v>
      </c>
      <c r="R40" s="156">
        <f t="shared" si="14"/>
        <v>1244544.422</v>
      </c>
      <c r="S40" s="156">
        <f t="shared" si="14"/>
        <v>1337456.844</v>
      </c>
      <c r="T40" s="156">
        <f t="shared" si="14"/>
        <v>1433385.46</v>
      </c>
      <c r="U40" s="156">
        <f t="shared" si="14"/>
        <v>1532546.531</v>
      </c>
      <c r="V40" s="156">
        <f t="shared" si="14"/>
        <v>1635171.824</v>
      </c>
      <c r="W40" s="156">
        <f t="shared" si="14"/>
        <v>1741509.724</v>
      </c>
      <c r="X40" s="156">
        <f t="shared" si="14"/>
        <v>1851826.425</v>
      </c>
      <c r="Y40" s="156">
        <f t="shared" si="14"/>
        <v>1966407.206</v>
      </c>
      <c r="Z40" s="156">
        <f t="shared" si="14"/>
        <v>2085557.803</v>
      </c>
      <c r="AA40" s="156">
        <f t="shared" si="14"/>
        <v>2209605.872</v>
      </c>
      <c r="AB40" s="156">
        <f t="shared" si="14"/>
        <v>2338902.56</v>
      </c>
      <c r="AC40" s="156">
        <f t="shared" si="14"/>
        <v>2473824.193</v>
      </c>
      <c r="AD40" s="156">
        <f t="shared" si="14"/>
        <v>2614774.082</v>
      </c>
      <c r="AE40" s="156">
        <f t="shared" si="14"/>
        <v>2762184.45</v>
      </c>
      <c r="AF40" s="156">
        <f t="shared" si="14"/>
        <v>2916518.516</v>
      </c>
      <c r="AG40" s="156">
        <f t="shared" si="14"/>
        <v>3078272.707</v>
      </c>
      <c r="AH40" s="156">
        <f t="shared" si="14"/>
        <v>3247979.048</v>
      </c>
      <c r="AI40" s="156">
        <f t="shared" si="14"/>
        <v>3426207.706</v>
      </c>
      <c r="AJ40" s="156">
        <f t="shared" si="14"/>
        <v>3613569.732</v>
      </c>
      <c r="AK40" s="156">
        <f t="shared" si="14"/>
        <v>3810719.989</v>
      </c>
      <c r="AL40" s="156">
        <f t="shared" si="14"/>
        <v>4018360.293</v>
      </c>
      <c r="AM40" s="156">
        <f t="shared" si="14"/>
        <v>4237242.779</v>
      </c>
      <c r="AN40" s="156">
        <f t="shared" si="14"/>
        <v>4468173.514</v>
      </c>
      <c r="AO40" s="156">
        <f t="shared" si="14"/>
        <v>4712016.355</v>
      </c>
      <c r="AP40" s="156">
        <f t="shared" si="14"/>
        <v>4969697.102</v>
      </c>
      <c r="AQ40" s="156">
        <f t="shared" si="14"/>
        <v>5242207.931</v>
      </c>
      <c r="AR40" s="156">
        <f t="shared" si="14"/>
        <v>5530612.16</v>
      </c>
      <c r="AS40" s="156">
        <f t="shared" si="14"/>
        <v>5836049.346</v>
      </c>
      <c r="AT40" s="156">
        <f t="shared" si="14"/>
        <v>6159740.752</v>
      </c>
      <c r="AU40" s="156">
        <f t="shared" si="14"/>
        <v>6502995.204</v>
      </c>
      <c r="AV40" s="156">
        <f t="shared" si="14"/>
        <v>6867215.374</v>
      </c>
      <c r="AW40" s="156">
        <f t="shared" si="14"/>
        <v>7253904.504</v>
      </c>
      <c r="AX40" s="156">
        <f t="shared" si="14"/>
        <v>7664673.618</v>
      </c>
      <c r="AY40" s="156">
        <f t="shared" si="14"/>
        <v>8101249.25</v>
      </c>
      <c r="AZ40" s="156">
        <f t="shared" si="14"/>
        <v>8565481.729</v>
      </c>
    </row>
    <row r="41">
      <c r="B41" s="157" t="s">
        <v>304</v>
      </c>
      <c r="C41" s="142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</row>
    <row r="42">
      <c r="B42" s="152"/>
      <c r="C42" s="145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</row>
    <row r="43">
      <c r="B43" s="152"/>
      <c r="C43" s="145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</row>
    <row r="44">
      <c r="B44" s="152"/>
      <c r="C44" s="145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</row>
    <row r="45">
      <c r="B45" s="150" t="s">
        <v>305</v>
      </c>
      <c r="C45" s="153"/>
      <c r="D45" s="148">
        <f t="shared" ref="D45:AZ45" si="15">subtotal(9,D42:D44)</f>
        <v>0</v>
      </c>
      <c r="E45" s="148">
        <f t="shared" si="15"/>
        <v>0</v>
      </c>
      <c r="F45" s="148">
        <f t="shared" si="15"/>
        <v>0</v>
      </c>
      <c r="G45" s="148">
        <f t="shared" si="15"/>
        <v>0</v>
      </c>
      <c r="H45" s="148">
        <f t="shared" si="15"/>
        <v>0</v>
      </c>
      <c r="I45" s="148">
        <f t="shared" si="15"/>
        <v>0</v>
      </c>
      <c r="J45" s="148">
        <f t="shared" si="15"/>
        <v>0</v>
      </c>
      <c r="K45" s="148">
        <f t="shared" si="15"/>
        <v>0</v>
      </c>
      <c r="L45" s="148">
        <f t="shared" si="15"/>
        <v>0</v>
      </c>
      <c r="M45" s="148">
        <f t="shared" si="15"/>
        <v>0</v>
      </c>
      <c r="N45" s="148">
        <f t="shared" si="15"/>
        <v>0</v>
      </c>
      <c r="O45" s="148">
        <f t="shared" si="15"/>
        <v>0</v>
      </c>
      <c r="P45" s="148">
        <f t="shared" si="15"/>
        <v>0</v>
      </c>
      <c r="Q45" s="148">
        <f t="shared" si="15"/>
        <v>0</v>
      </c>
      <c r="R45" s="148">
        <f t="shared" si="15"/>
        <v>0</v>
      </c>
      <c r="S45" s="148">
        <f t="shared" si="15"/>
        <v>0</v>
      </c>
      <c r="T45" s="148">
        <f t="shared" si="15"/>
        <v>0</v>
      </c>
      <c r="U45" s="148">
        <f t="shared" si="15"/>
        <v>0</v>
      </c>
      <c r="V45" s="148">
        <f t="shared" si="15"/>
        <v>0</v>
      </c>
      <c r="W45" s="148">
        <f t="shared" si="15"/>
        <v>0</v>
      </c>
      <c r="X45" s="148">
        <f t="shared" si="15"/>
        <v>0</v>
      </c>
      <c r="Y45" s="148">
        <f t="shared" si="15"/>
        <v>0</v>
      </c>
      <c r="Z45" s="148">
        <f t="shared" si="15"/>
        <v>0</v>
      </c>
      <c r="AA45" s="148">
        <f t="shared" si="15"/>
        <v>0</v>
      </c>
      <c r="AB45" s="148">
        <f t="shared" si="15"/>
        <v>0</v>
      </c>
      <c r="AC45" s="148">
        <f t="shared" si="15"/>
        <v>0</v>
      </c>
      <c r="AD45" s="148">
        <f t="shared" si="15"/>
        <v>0</v>
      </c>
      <c r="AE45" s="148">
        <f t="shared" si="15"/>
        <v>0</v>
      </c>
      <c r="AF45" s="148">
        <f t="shared" si="15"/>
        <v>0</v>
      </c>
      <c r="AG45" s="148">
        <f t="shared" si="15"/>
        <v>0</v>
      </c>
      <c r="AH45" s="148">
        <f t="shared" si="15"/>
        <v>0</v>
      </c>
      <c r="AI45" s="148">
        <f t="shared" si="15"/>
        <v>0</v>
      </c>
      <c r="AJ45" s="148">
        <f t="shared" si="15"/>
        <v>0</v>
      </c>
      <c r="AK45" s="148">
        <f t="shared" si="15"/>
        <v>0</v>
      </c>
      <c r="AL45" s="148">
        <f t="shared" si="15"/>
        <v>0</v>
      </c>
      <c r="AM45" s="148">
        <f t="shared" si="15"/>
        <v>0</v>
      </c>
      <c r="AN45" s="148">
        <f t="shared" si="15"/>
        <v>0</v>
      </c>
      <c r="AO45" s="148">
        <f t="shared" si="15"/>
        <v>0</v>
      </c>
      <c r="AP45" s="148">
        <f t="shared" si="15"/>
        <v>0</v>
      </c>
      <c r="AQ45" s="148">
        <f t="shared" si="15"/>
        <v>0</v>
      </c>
      <c r="AR45" s="148">
        <f t="shared" si="15"/>
        <v>0</v>
      </c>
      <c r="AS45" s="148">
        <f t="shared" si="15"/>
        <v>0</v>
      </c>
      <c r="AT45" s="148">
        <f t="shared" si="15"/>
        <v>0</v>
      </c>
      <c r="AU45" s="148">
        <f t="shared" si="15"/>
        <v>0</v>
      </c>
      <c r="AV45" s="148">
        <f t="shared" si="15"/>
        <v>0</v>
      </c>
      <c r="AW45" s="148">
        <f t="shared" si="15"/>
        <v>0</v>
      </c>
      <c r="AX45" s="148">
        <f t="shared" si="15"/>
        <v>0</v>
      </c>
      <c r="AY45" s="148">
        <f t="shared" si="15"/>
        <v>0</v>
      </c>
      <c r="AZ45" s="148">
        <f t="shared" si="15"/>
        <v>0</v>
      </c>
    </row>
    <row r="46">
      <c r="B46" s="154" t="s">
        <v>306</v>
      </c>
      <c r="C46" s="155"/>
      <c r="D46" s="156">
        <f t="shared" ref="D46:AZ46" si="16">D27+D33+D39+D45</f>
        <v>222533.67</v>
      </c>
      <c r="E46" s="156">
        <f t="shared" si="16"/>
        <v>235334.8941</v>
      </c>
      <c r="F46" s="156">
        <f t="shared" si="16"/>
        <v>303280.1394</v>
      </c>
      <c r="G46" s="156">
        <f t="shared" si="16"/>
        <v>372451.4321</v>
      </c>
      <c r="H46" s="156">
        <f t="shared" si="16"/>
        <v>442936.6798</v>
      </c>
      <c r="I46" s="156">
        <f t="shared" si="16"/>
        <v>514830.0931</v>
      </c>
      <c r="J46" s="156">
        <f t="shared" si="16"/>
        <v>588232.6376</v>
      </c>
      <c r="K46" s="156">
        <f t="shared" si="16"/>
        <v>663252.5178</v>
      </c>
      <c r="L46" s="156">
        <f t="shared" si="16"/>
        <v>740005.6967</v>
      </c>
      <c r="M46" s="156">
        <f t="shared" si="16"/>
        <v>818616.452</v>
      </c>
      <c r="N46" s="156">
        <f t="shared" si="16"/>
        <v>899217.9717</v>
      </c>
      <c r="O46" s="156">
        <f t="shared" si="16"/>
        <v>981952.9938</v>
      </c>
      <c r="P46" s="156">
        <f t="shared" si="16"/>
        <v>1066974.49</v>
      </c>
      <c r="Q46" s="156">
        <f t="shared" si="16"/>
        <v>1154446.401</v>
      </c>
      <c r="R46" s="156">
        <f t="shared" si="16"/>
        <v>1244544.422</v>
      </c>
      <c r="S46" s="156">
        <f t="shared" si="16"/>
        <v>1337456.844</v>
      </c>
      <c r="T46" s="156">
        <f t="shared" si="16"/>
        <v>1433385.46</v>
      </c>
      <c r="U46" s="156">
        <f t="shared" si="16"/>
        <v>1532546.531</v>
      </c>
      <c r="V46" s="156">
        <f t="shared" si="16"/>
        <v>1635171.824</v>
      </c>
      <c r="W46" s="156">
        <f t="shared" si="16"/>
        <v>1741509.724</v>
      </c>
      <c r="X46" s="156">
        <f t="shared" si="16"/>
        <v>1851826.425</v>
      </c>
      <c r="Y46" s="156">
        <f t="shared" si="16"/>
        <v>1966407.206</v>
      </c>
      <c r="Z46" s="156">
        <f t="shared" si="16"/>
        <v>2085557.803</v>
      </c>
      <c r="AA46" s="156">
        <f t="shared" si="16"/>
        <v>2209605.872</v>
      </c>
      <c r="AB46" s="156">
        <f t="shared" si="16"/>
        <v>2338902.56</v>
      </c>
      <c r="AC46" s="156">
        <f t="shared" si="16"/>
        <v>2473824.193</v>
      </c>
      <c r="AD46" s="156">
        <f t="shared" si="16"/>
        <v>2614774.082</v>
      </c>
      <c r="AE46" s="156">
        <f t="shared" si="16"/>
        <v>2762184.45</v>
      </c>
      <c r="AF46" s="156">
        <f t="shared" si="16"/>
        <v>2916518.516</v>
      </c>
      <c r="AG46" s="156">
        <f t="shared" si="16"/>
        <v>3078272.707</v>
      </c>
      <c r="AH46" s="156">
        <f t="shared" si="16"/>
        <v>3247979.048</v>
      </c>
      <c r="AI46" s="156">
        <f t="shared" si="16"/>
        <v>3426207.706</v>
      </c>
      <c r="AJ46" s="156">
        <f t="shared" si="16"/>
        <v>3613569.732</v>
      </c>
      <c r="AK46" s="156">
        <f t="shared" si="16"/>
        <v>3810719.989</v>
      </c>
      <c r="AL46" s="156">
        <f t="shared" si="16"/>
        <v>4018360.293</v>
      </c>
      <c r="AM46" s="156">
        <f t="shared" si="16"/>
        <v>4237242.779</v>
      </c>
      <c r="AN46" s="156">
        <f t="shared" si="16"/>
        <v>4468173.514</v>
      </c>
      <c r="AO46" s="156">
        <f t="shared" si="16"/>
        <v>4712016.355</v>
      </c>
      <c r="AP46" s="156">
        <f t="shared" si="16"/>
        <v>4969697.102</v>
      </c>
      <c r="AQ46" s="156">
        <f t="shared" si="16"/>
        <v>5242207.931</v>
      </c>
      <c r="AR46" s="156">
        <f t="shared" si="16"/>
        <v>5530612.16</v>
      </c>
      <c r="AS46" s="156">
        <f t="shared" si="16"/>
        <v>5836049.346</v>
      </c>
      <c r="AT46" s="156">
        <f t="shared" si="16"/>
        <v>6159740.752</v>
      </c>
      <c r="AU46" s="156">
        <f t="shared" si="16"/>
        <v>6502995.204</v>
      </c>
      <c r="AV46" s="156">
        <f t="shared" si="16"/>
        <v>6867215.374</v>
      </c>
      <c r="AW46" s="156">
        <f t="shared" si="16"/>
        <v>7253904.504</v>
      </c>
      <c r="AX46" s="156">
        <f t="shared" si="16"/>
        <v>7664673.618</v>
      </c>
      <c r="AY46" s="156">
        <f t="shared" si="16"/>
        <v>8101249.25</v>
      </c>
      <c r="AZ46" s="156">
        <f t="shared" si="16"/>
        <v>8565481.729</v>
      </c>
    </row>
    <row r="47">
      <c r="B47" s="84"/>
      <c r="C47" s="30"/>
      <c r="D47" s="30"/>
      <c r="E47" s="30"/>
    </row>
    <row r="48" ht="14.25" customHeight="1">
      <c r="C48" s="30"/>
      <c r="D48" s="30"/>
      <c r="E48" s="30"/>
    </row>
    <row r="49">
      <c r="B49" s="128" t="s">
        <v>214</v>
      </c>
      <c r="C49" s="129" t="s">
        <v>284</v>
      </c>
      <c r="D49" s="85" t="s">
        <v>285</v>
      </c>
      <c r="E49" s="130">
        <v>46143.0</v>
      </c>
      <c r="F49" s="130">
        <v>46508.0</v>
      </c>
      <c r="G49" s="130">
        <v>46874.0</v>
      </c>
      <c r="H49" s="130">
        <v>47239.0</v>
      </c>
      <c r="I49" s="130">
        <v>47604.0</v>
      </c>
      <c r="J49" s="130">
        <v>47969.0</v>
      </c>
      <c r="K49" s="130">
        <v>48335.0</v>
      </c>
      <c r="L49" s="130">
        <v>48700.0</v>
      </c>
      <c r="M49" s="130">
        <v>49065.0</v>
      </c>
      <c r="N49" s="130">
        <v>49430.0</v>
      </c>
      <c r="O49" s="130">
        <v>49796.0</v>
      </c>
      <c r="P49" s="130">
        <v>50161.0</v>
      </c>
      <c r="Q49" s="130">
        <v>50526.0</v>
      </c>
      <c r="R49" s="130">
        <v>50891.0</v>
      </c>
      <c r="S49" s="130">
        <v>51257.0</v>
      </c>
      <c r="T49" s="130">
        <v>51622.0</v>
      </c>
      <c r="U49" s="130">
        <v>51987.0</v>
      </c>
      <c r="V49" s="130">
        <v>52352.0</v>
      </c>
      <c r="W49" s="130">
        <v>52718.0</v>
      </c>
      <c r="X49" s="130">
        <v>53083.0</v>
      </c>
      <c r="Y49" s="130">
        <v>53448.0</v>
      </c>
      <c r="Z49" s="130">
        <v>53813.0</v>
      </c>
      <c r="AA49" s="130">
        <v>54179.0</v>
      </c>
      <c r="AB49" s="130">
        <v>54544.0</v>
      </c>
      <c r="AC49" s="130">
        <v>54909.0</v>
      </c>
      <c r="AD49" s="130">
        <v>55274.0</v>
      </c>
      <c r="AE49" s="130">
        <v>55640.0</v>
      </c>
      <c r="AF49" s="130">
        <v>56005.0</v>
      </c>
      <c r="AG49" s="130">
        <v>56370.0</v>
      </c>
      <c r="AH49" s="130">
        <v>56735.0</v>
      </c>
      <c r="AI49" s="130">
        <v>57101.0</v>
      </c>
      <c r="AJ49" s="130">
        <v>57466.0</v>
      </c>
      <c r="AK49" s="130">
        <v>57831.0</v>
      </c>
      <c r="AL49" s="130">
        <v>58196.0</v>
      </c>
      <c r="AM49" s="130">
        <v>58562.0</v>
      </c>
      <c r="AN49" s="130">
        <v>58927.0</v>
      </c>
      <c r="AO49" s="130">
        <v>59292.0</v>
      </c>
      <c r="AP49" s="130">
        <v>59657.0</v>
      </c>
      <c r="AQ49" s="130">
        <v>60023.0</v>
      </c>
      <c r="AR49" s="130">
        <v>60388.0</v>
      </c>
      <c r="AS49" s="130">
        <v>60753.0</v>
      </c>
      <c r="AT49" s="130">
        <v>61118.0</v>
      </c>
      <c r="AU49" s="130">
        <v>61484.0</v>
      </c>
      <c r="AV49" s="130">
        <v>61849.0</v>
      </c>
      <c r="AW49" s="130">
        <v>62214.0</v>
      </c>
      <c r="AX49" s="130">
        <v>62579.0</v>
      </c>
      <c r="AY49" s="130">
        <v>62945.0</v>
      </c>
      <c r="AZ49" s="130">
        <v>63310.0</v>
      </c>
    </row>
    <row r="50">
      <c r="B50" s="141" t="s">
        <v>294</v>
      </c>
      <c r="C50" s="142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</row>
    <row r="51">
      <c r="B51" s="144" t="str">
        <f>'Input Data'!I47</f>
        <v>mortgage</v>
      </c>
      <c r="C51" s="145">
        <f>'Input Data'!L47/100</f>
        <v>0.0146</v>
      </c>
      <c r="D51" s="146">
        <f>-'Input Data'!N47</f>
        <v>-346257</v>
      </c>
      <c r="E51" s="146">
        <f>if(FV(($C$51/12),12,'Input Data'!$M47,D51)&gt;0,-FV(($C$51/12),12,'Input Data'!$M47,D51),0)
</f>
        <v>-324516.8174</v>
      </c>
      <c r="F51" s="146">
        <f>if(FV(($C$51/12),12,'Input Data'!$M47,E51)&gt;0,-FV(($C$51/12),12,'Input Data'!$M47,E51),0)
</f>
        <v>-302457.0955</v>
      </c>
      <c r="G51" s="146">
        <f>if(FV(($C$51/12),12,'Input Data'!$M47,F51)&gt;0,-FV(($C$51/12),12,'Input Data'!$M47,F51),0)
</f>
        <v>-280073.1378</v>
      </c>
      <c r="H51" s="146">
        <f>if(FV(($C$51/12),12,'Input Data'!$M47,G51)&gt;0,-FV(($C$51/12),12,'Input Data'!$M47,G51),0)
</f>
        <v>-257360.1784</v>
      </c>
      <c r="I51" s="146">
        <f>if(FV(($C$51/12),12,'Input Data'!$M47,H51)&gt;0,-FV(($C$51/12),12,'Input Data'!$M47,H51),0)
</f>
        <v>-234313.3818</v>
      </c>
      <c r="J51" s="146">
        <f>if(FV(($C$51/12),12,'Input Data'!$M47,I51)&gt;0,-FV(($C$51/12),12,'Input Data'!$M47,I51),0)
</f>
        <v>-210927.8412</v>
      </c>
      <c r="K51" s="146">
        <f>if(FV(($C$51/12),12,'Input Data'!$M47,J51)&gt;0,-FV(($C$51/12),12,'Input Data'!$M47,J51),0)
</f>
        <v>-187198.5777</v>
      </c>
      <c r="L51" s="146">
        <f>if(FV(($C$51/12),12,'Input Data'!$M47,K51)&gt;0,-FV(($C$51/12),12,'Input Data'!$M47,K51),0)
</f>
        <v>-163120.5392</v>
      </c>
      <c r="M51" s="146">
        <f>if(FV(($C$51/12),12,'Input Data'!$M47,L51)&gt;0,-FV(($C$51/12),12,'Input Data'!$M47,L51),0)
</f>
        <v>-138688.5994</v>
      </c>
      <c r="N51" s="146">
        <f>if(FV(($C$51/12),12,'Input Data'!$M47,M51)&gt;0,-FV(($C$51/12),12,'Input Data'!$M47,M51),0)
</f>
        <v>-113897.5566</v>
      </c>
      <c r="O51" s="146">
        <f>if(FV(($C$51/12),12,'Input Data'!$M47,N51)&gt;0,-FV(($C$51/12),12,'Input Data'!$M47,N51),0)
</f>
        <v>-88742.13271</v>
      </c>
      <c r="P51" s="146">
        <f>if(FV(($C$51/12),12,'Input Data'!$M47,O51)&gt;0,-FV(($C$51/12),12,'Input Data'!$M47,O51),0)
</f>
        <v>-63216.97197</v>
      </c>
      <c r="Q51" s="146">
        <f>if(FV(($C$51/12),12,'Input Data'!$M47,P51)&gt;0,-FV(($C$51/12),12,'Input Data'!$M47,P51),0)
</f>
        <v>-37316.63998</v>
      </c>
      <c r="R51" s="146">
        <f>if(FV(($C$51/12),12,'Input Data'!$M47,Q51)&gt;0,-FV(($C$51/12),12,'Input Data'!$M47,Q51),0)
</f>
        <v>-11035.62242</v>
      </c>
      <c r="S51" s="146">
        <f>if(FV(($C$51/12),12,'Input Data'!$M47,R51)&gt;0,-FV(($C$51/12),12,'Input Data'!$M47,R51),0)
</f>
        <v>0</v>
      </c>
      <c r="T51" s="146">
        <f>if(FV(($C$51/12),12,'Input Data'!$M47,S51)&gt;0,-FV(($C$51/12),12,'Input Data'!$M47,S51),0)
</f>
        <v>0</v>
      </c>
      <c r="U51" s="146">
        <f>if(FV(($C$51/12),12,'Input Data'!$M47,T51)&gt;0,-FV(($C$51/12),12,'Input Data'!$M47,T51),0)
</f>
        <v>0</v>
      </c>
      <c r="V51" s="146">
        <f>if(FV(($C$51/12),12,'Input Data'!$M47,U51)&gt;0,-FV(($C$51/12),12,'Input Data'!$M47,U51),0)
</f>
        <v>0</v>
      </c>
      <c r="W51" s="146">
        <f>if(FV(($C$51/12),12,'Input Data'!$M47,V51)&gt;0,-FV(($C$51/12),12,'Input Data'!$M47,V51),0)
</f>
        <v>0</v>
      </c>
      <c r="X51" s="146">
        <f>if(FV(($C$51/12),12,'Input Data'!$M47,W51)&gt;0,-FV(($C$51/12),12,'Input Data'!$M47,W51),0)
</f>
        <v>0</v>
      </c>
      <c r="Y51" s="146">
        <f>if(FV(($C$51/12),12,'Input Data'!$M47,X51)&gt;0,-FV(($C$51/12),12,'Input Data'!$M47,X51),0)
</f>
        <v>0</v>
      </c>
      <c r="Z51" s="146">
        <f>if(FV(($C$51/12),12,'Input Data'!$M47,Y51)&gt;0,-FV(($C$51/12),12,'Input Data'!$M47,Y51),0)
</f>
        <v>0</v>
      </c>
      <c r="AA51" s="146">
        <f>if(FV(($C$51/12),12,'Input Data'!$M47,Z51)&gt;0,-FV(($C$51/12),12,'Input Data'!$M47,Z51),0)
</f>
        <v>0</v>
      </c>
      <c r="AB51" s="146">
        <f>if(FV(($C$51/12),12,'Input Data'!$M47,AA51)&gt;0,-FV(($C$51/12),12,'Input Data'!$M47,AA51),0)
</f>
        <v>0</v>
      </c>
      <c r="AC51" s="146">
        <f>if(FV(($C$51/12),12,'Input Data'!$M47,AB51)&gt;0,-FV(($C$51/12),12,'Input Data'!$M47,AB51),0)
</f>
        <v>0</v>
      </c>
      <c r="AD51" s="146">
        <f>if(FV(($C$51/12),12,'Input Data'!$M47,AC51)&gt;0,-FV(($C$51/12),12,'Input Data'!$M47,AC51),0)
</f>
        <v>0</v>
      </c>
      <c r="AE51" s="146">
        <f>if(FV(($C$51/12),12,'Input Data'!$M47,AD51)&gt;0,-FV(($C$51/12),12,'Input Data'!$M47,AD51),0)
</f>
        <v>0</v>
      </c>
      <c r="AF51" s="146">
        <f>if(FV(($C$51/12),12,'Input Data'!$M47,AE51)&gt;0,-FV(($C$51/12),12,'Input Data'!$M47,AE51),0)
</f>
        <v>0</v>
      </c>
      <c r="AG51" s="146">
        <f>if(FV(($C$51/12),12,'Input Data'!$M47,AF51)&gt;0,-FV(($C$51/12),12,'Input Data'!$M47,AF51),0)
</f>
        <v>0</v>
      </c>
      <c r="AH51" s="146">
        <f>if(FV(($C$51/12),12,'Input Data'!$M47,AG51)&gt;0,-FV(($C$51/12),12,'Input Data'!$M47,AG51),0)
</f>
        <v>0</v>
      </c>
      <c r="AI51" s="146">
        <f>if(FV(($C$51/12),12,'Input Data'!$M47,AH51)&gt;0,-FV(($C$51/12),12,'Input Data'!$M47,AH51),0)
</f>
        <v>0</v>
      </c>
      <c r="AJ51" s="146">
        <f>if(FV(($C$51/12),12,'Input Data'!$M47,AI51)&gt;0,-FV(($C$51/12),12,'Input Data'!$M47,AI51),0)
</f>
        <v>0</v>
      </c>
      <c r="AK51" s="146">
        <f>if(FV(($C$51/12),12,'Input Data'!$M47,AJ51)&gt;0,-FV(($C$51/12),12,'Input Data'!$M47,AJ51),0)
</f>
        <v>0</v>
      </c>
      <c r="AL51" s="146">
        <f>if(FV(($C$51/12),12,'Input Data'!$M47,AK51)&gt;0,-FV(($C$51/12),12,'Input Data'!$M47,AK51),0)
</f>
        <v>0</v>
      </c>
      <c r="AM51" s="146">
        <f>if(FV(($C$51/12),12,'Input Data'!$M47,AL51)&gt;0,-FV(($C$51/12),12,'Input Data'!$M47,AL51),0)
</f>
        <v>0</v>
      </c>
      <c r="AN51" s="146">
        <f>if(FV(($C$51/12),12,'Input Data'!$M47,AM51)&gt;0,-FV(($C$51/12),12,'Input Data'!$M47,AM51),0)
</f>
        <v>0</v>
      </c>
      <c r="AO51" s="146">
        <f>if(FV(($C$51/12),12,'Input Data'!$M47,AN51)&gt;0,-FV(($C$51/12),12,'Input Data'!$M47,AN51),0)
</f>
        <v>0</v>
      </c>
      <c r="AP51" s="146">
        <f>if(FV(($C$51/12),12,'Input Data'!$M47,AO51)&gt;0,-FV(($C$51/12),12,'Input Data'!$M47,AO51),0)
</f>
        <v>0</v>
      </c>
      <c r="AQ51" s="146">
        <f>if(FV(($C$51/12),12,'Input Data'!$M47,AP51)&gt;0,-FV(($C$51/12),12,'Input Data'!$M47,AP51),0)
</f>
        <v>0</v>
      </c>
      <c r="AR51" s="146">
        <f>if(FV(($C$51/12),12,'Input Data'!$M47,AQ51)&gt;0,-FV(($C$51/12),12,'Input Data'!$M47,AQ51),0)
</f>
        <v>0</v>
      </c>
      <c r="AS51" s="146">
        <f>if(FV(($C$51/12),12,'Input Data'!$M47,AR51)&gt;0,-FV(($C$51/12),12,'Input Data'!$M47,AR51),0)
</f>
        <v>0</v>
      </c>
      <c r="AT51" s="146">
        <f>if(FV(($C$51/12),12,'Input Data'!$M47,AS51)&gt;0,-FV(($C$51/12),12,'Input Data'!$M47,AS51),0)
</f>
        <v>0</v>
      </c>
      <c r="AU51" s="146">
        <f>if(FV(($C$51/12),12,'Input Data'!$M47,AT51)&gt;0,-FV(($C$51/12),12,'Input Data'!$M47,AT51),0)
</f>
        <v>0</v>
      </c>
      <c r="AV51" s="146">
        <f>if(FV(($C$51/12),12,'Input Data'!$M47,AU51)&gt;0,-FV(($C$51/12),12,'Input Data'!$M47,AU51),0)
</f>
        <v>0</v>
      </c>
      <c r="AW51" s="146">
        <f>if(FV(($C$51/12),12,'Input Data'!$M47,AV51)&gt;0,-FV(($C$51/12),12,'Input Data'!$M47,AV51),0)
</f>
        <v>0</v>
      </c>
      <c r="AX51" s="146">
        <f>if(FV(($C$51/12),12,'Input Data'!$M47,AW51)&gt;0,-FV(($C$51/12),12,'Input Data'!$M47,AW51),0)
</f>
        <v>0</v>
      </c>
      <c r="AY51" s="146">
        <f>if(FV(($C$51/12),12,'Input Data'!$M47,AX51)&gt;0,-FV(($C$51/12),12,'Input Data'!$M47,AX51),0)
</f>
        <v>0</v>
      </c>
      <c r="AZ51" s="146">
        <f>if(FV(($C$51/12),12,'Input Data'!$M47,AY51)&gt;0,-FV(($C$51/12),12,'Input Data'!$M47,AY51),0)
</f>
        <v>0</v>
      </c>
    </row>
    <row r="52">
      <c r="B52" s="144" t="str">
        <f>'Input Data'!I48</f>
        <v/>
      </c>
      <c r="C52" s="145">
        <f>'Input Data'!L48/100</f>
        <v>0</v>
      </c>
      <c r="D52" s="146" t="str">
        <f>'Input Data'!N48</f>
        <v/>
      </c>
      <c r="E52" s="146">
        <f>if(FV(($C$51/12),12,'Input Data'!$M48,-D52)&gt;0,FV(($C$51/12),12,'Input Data'!$M48,-D52),0)
</f>
        <v>0</v>
      </c>
      <c r="F52" s="146">
        <f>if(FV(($C$51/12),12,'Input Data'!$M48,-E52)&gt;0,FV(($C$51/12),12,'Input Data'!$M48,-E52),0)
</f>
        <v>0</v>
      </c>
      <c r="G52" s="146">
        <f>if(FV(($C$51/12),12,'Input Data'!$M48,-F52)&gt;0,FV(($C$51/12),12,'Input Data'!$M48,-F52),0)
</f>
        <v>0</v>
      </c>
      <c r="H52" s="146">
        <f>if(FV(($C$51/12),12,'Input Data'!$M48,-G52)&gt;0,FV(($C$51/12),12,'Input Data'!$M48,-G52),0)
</f>
        <v>0</v>
      </c>
      <c r="I52" s="146">
        <f>if(FV(($C$51/12),12,'Input Data'!$M48,-H52)&gt;0,FV(($C$51/12),12,'Input Data'!$M48,-H52),0)
</f>
        <v>0</v>
      </c>
      <c r="J52" s="146">
        <f>if(FV(($C$51/12),12,'Input Data'!$M48,-I52)&gt;0,FV(($C$51/12),12,'Input Data'!$M48,-I52),0)
</f>
        <v>0</v>
      </c>
      <c r="K52" s="146">
        <f>if(FV(($C$51/12),12,'Input Data'!$M48,-J52)&gt;0,FV(($C$51/12),12,'Input Data'!$M48,-J52),0)
</f>
        <v>0</v>
      </c>
      <c r="L52" s="146">
        <f>if(FV(($C$51/12),12,'Input Data'!$M48,-K52)&gt;0,FV(($C$51/12),12,'Input Data'!$M48,-K52),0)
</f>
        <v>0</v>
      </c>
      <c r="M52" s="146">
        <f>if(FV(($C$51/12),12,'Input Data'!$M48,-L52)&gt;0,FV(($C$51/12),12,'Input Data'!$M48,-L52),0)
</f>
        <v>0</v>
      </c>
      <c r="N52" s="146">
        <f>if(FV(($C$51/12),12,'Input Data'!$M48,-M52)&gt;0,FV(($C$51/12),12,'Input Data'!$M48,-M52),0)
</f>
        <v>0</v>
      </c>
      <c r="O52" s="146">
        <f>if(FV(($C$51/12),12,'Input Data'!$M48,-N52)&gt;0,FV(($C$51/12),12,'Input Data'!$M48,-N52),0)
</f>
        <v>0</v>
      </c>
      <c r="P52" s="146">
        <f>if(FV(($C$51/12),12,'Input Data'!$M48,-O52)&gt;0,FV(($C$51/12),12,'Input Data'!$M48,-O52),0)
</f>
        <v>0</v>
      </c>
      <c r="Q52" s="146">
        <f>if(FV(($C$51/12),12,'Input Data'!$M48,-P52)&gt;0,FV(($C$51/12),12,'Input Data'!$M48,-P52),0)
</f>
        <v>0</v>
      </c>
      <c r="R52" s="146">
        <f>if(FV(($C$51/12),12,'Input Data'!$M48,-Q52)&gt;0,FV(($C$51/12),12,'Input Data'!$M48,-Q52),0)
</f>
        <v>0</v>
      </c>
      <c r="S52" s="146">
        <f>if(FV(($C$51/12),12,'Input Data'!$M48,-R52)&gt;0,FV(($C$51/12),12,'Input Data'!$M48,-R52),0)
</f>
        <v>0</v>
      </c>
      <c r="T52" s="146">
        <f>if(FV(($C$51/12),12,'Input Data'!$M48,-S52)&gt;0,FV(($C$51/12),12,'Input Data'!$M48,-S52),0)
</f>
        <v>0</v>
      </c>
      <c r="U52" s="146">
        <f>if(FV(($C$51/12),12,'Input Data'!$M48,-T52)&gt;0,FV(($C$51/12),12,'Input Data'!$M48,-T52),0)
</f>
        <v>0</v>
      </c>
      <c r="V52" s="146">
        <f>if(FV(($C$51/12),12,'Input Data'!$M48,-U52)&gt;0,FV(($C$51/12),12,'Input Data'!$M48,-U52),0)
</f>
        <v>0</v>
      </c>
      <c r="W52" s="146">
        <f>if(FV(($C$51/12),12,'Input Data'!$M48,-V52)&gt;0,FV(($C$51/12),12,'Input Data'!$M48,-V52),0)
</f>
        <v>0</v>
      </c>
      <c r="X52" s="146">
        <f>if(FV(($C$51/12),12,'Input Data'!$M48,-W52)&gt;0,FV(($C$51/12),12,'Input Data'!$M48,-W52),0)
</f>
        <v>0</v>
      </c>
      <c r="Y52" s="146">
        <f>if(FV(($C$51/12),12,'Input Data'!$M48,-X52)&gt;0,FV(($C$51/12),12,'Input Data'!$M48,-X52),0)
</f>
        <v>0</v>
      </c>
      <c r="Z52" s="146">
        <f>if(FV(($C$51/12),12,'Input Data'!$M48,-Y52)&gt;0,FV(($C$51/12),12,'Input Data'!$M48,-Y52),0)
</f>
        <v>0</v>
      </c>
      <c r="AA52" s="146">
        <f>if(FV(($C$51/12),12,'Input Data'!$M48,-Z52)&gt;0,FV(($C$51/12),12,'Input Data'!$M48,-Z52),0)
</f>
        <v>0</v>
      </c>
      <c r="AB52" s="146">
        <f>if(FV(($C$51/12),12,'Input Data'!$M48,-AA52)&gt;0,FV(($C$51/12),12,'Input Data'!$M48,-AA52),0)
</f>
        <v>0</v>
      </c>
      <c r="AC52" s="146">
        <f>if(FV(($C$51/12),12,'Input Data'!$M48,-AB52)&gt;0,FV(($C$51/12),12,'Input Data'!$M48,-AB52),0)
</f>
        <v>0</v>
      </c>
      <c r="AD52" s="146">
        <f>if(FV(($C$51/12),12,'Input Data'!$M48,-AC52)&gt;0,FV(($C$51/12),12,'Input Data'!$M48,-AC52),0)
</f>
        <v>0</v>
      </c>
      <c r="AE52" s="146">
        <f>if(FV(($C$51/12),12,'Input Data'!$M48,-AD52)&gt;0,FV(($C$51/12),12,'Input Data'!$M48,-AD52),0)
</f>
        <v>0</v>
      </c>
      <c r="AF52" s="146">
        <f>if(FV(($C$51/12),12,'Input Data'!$M48,-AE52)&gt;0,FV(($C$51/12),12,'Input Data'!$M48,-AE52),0)
</f>
        <v>0</v>
      </c>
      <c r="AG52" s="146">
        <f>if(FV(($C$51/12),12,'Input Data'!$M48,-AF52)&gt;0,FV(($C$51/12),12,'Input Data'!$M48,-AF52),0)
</f>
        <v>0</v>
      </c>
      <c r="AH52" s="146">
        <f>if(FV(($C$51/12),12,'Input Data'!$M48,-AG52)&gt;0,FV(($C$51/12),12,'Input Data'!$M48,-AG52),0)
</f>
        <v>0</v>
      </c>
      <c r="AI52" s="146">
        <f>if(FV(($C$51/12),12,'Input Data'!$M48,-AH52)&gt;0,FV(($C$51/12),12,'Input Data'!$M48,-AH52),0)
</f>
        <v>0</v>
      </c>
      <c r="AJ52" s="146">
        <f>if(FV(($C$51/12),12,'Input Data'!$M48,-AI52)&gt;0,FV(($C$51/12),12,'Input Data'!$M48,-AI52),0)
</f>
        <v>0</v>
      </c>
      <c r="AK52" s="146">
        <f>if(FV(($C$51/12),12,'Input Data'!$M48,-AJ52)&gt;0,FV(($C$51/12),12,'Input Data'!$M48,-AJ52),0)
</f>
        <v>0</v>
      </c>
      <c r="AL52" s="146">
        <f>if(FV(($C$51/12),12,'Input Data'!$M48,-AK52)&gt;0,FV(($C$51/12),12,'Input Data'!$M48,-AK52),0)
</f>
        <v>0</v>
      </c>
      <c r="AM52" s="146">
        <f>if(FV(($C$51/12),12,'Input Data'!$M48,-AL52)&gt;0,FV(($C$51/12),12,'Input Data'!$M48,-AL52),0)
</f>
        <v>0</v>
      </c>
      <c r="AN52" s="146">
        <f>if(FV(($C$51/12),12,'Input Data'!$M48,-AM52)&gt;0,FV(($C$51/12),12,'Input Data'!$M48,-AM52),0)
</f>
        <v>0</v>
      </c>
      <c r="AO52" s="146">
        <f>if(FV(($C$51/12),12,'Input Data'!$M48,-AN52)&gt;0,FV(($C$51/12),12,'Input Data'!$M48,-AN52),0)
</f>
        <v>0</v>
      </c>
      <c r="AP52" s="146">
        <f>if(FV(($C$51/12),12,'Input Data'!$M48,-AO52)&gt;0,FV(($C$51/12),12,'Input Data'!$M48,-AO52),0)
</f>
        <v>0</v>
      </c>
      <c r="AQ52" s="146">
        <f>if(FV(($C$51/12),12,'Input Data'!$M48,-AP52)&gt;0,FV(($C$51/12),12,'Input Data'!$M48,-AP52),0)
</f>
        <v>0</v>
      </c>
      <c r="AR52" s="146">
        <f>if(FV(($C$51/12),12,'Input Data'!$M48,-AQ52)&gt;0,FV(($C$51/12),12,'Input Data'!$M48,-AQ52),0)
</f>
        <v>0</v>
      </c>
      <c r="AS52" s="146">
        <f>if(FV(($C$51/12),12,'Input Data'!$M48,-AR52)&gt;0,FV(($C$51/12),12,'Input Data'!$M48,-AR52),0)
</f>
        <v>0</v>
      </c>
      <c r="AT52" s="146">
        <f>if(FV(($C$51/12),12,'Input Data'!$M48,-AS52)&gt;0,FV(($C$51/12),12,'Input Data'!$M48,-AS52),0)
</f>
        <v>0</v>
      </c>
      <c r="AU52" s="146">
        <f>if(FV(($C$51/12),12,'Input Data'!$M48,-AT52)&gt;0,FV(($C$51/12),12,'Input Data'!$M48,-AT52),0)
</f>
        <v>0</v>
      </c>
      <c r="AV52" s="146">
        <f>if(FV(($C$51/12),12,'Input Data'!$M48,-AU52)&gt;0,FV(($C$51/12),12,'Input Data'!$M48,-AU52),0)
</f>
        <v>0</v>
      </c>
      <c r="AW52" s="146">
        <f>if(FV(($C$51/12),12,'Input Data'!$M48,-AV52)&gt;0,FV(($C$51/12),12,'Input Data'!$M48,-AV52),0)
</f>
        <v>0</v>
      </c>
      <c r="AX52" s="146">
        <f>if(FV(($C$51/12),12,'Input Data'!$M48,-AW52)&gt;0,FV(($C$51/12),12,'Input Data'!$M48,-AW52),0)
</f>
        <v>0</v>
      </c>
      <c r="AY52" s="146">
        <f>if(FV(($C$51/12),12,'Input Data'!$M48,-AX52)&gt;0,FV(($C$51/12),12,'Input Data'!$M48,-AX52),0)
</f>
        <v>0</v>
      </c>
      <c r="AZ52" s="146">
        <f>if(FV(($C$51/12),12,'Input Data'!$M48,-AY52)&gt;0,FV(($C$51/12),12,'Input Data'!$M48,-AY52),0)
</f>
        <v>0</v>
      </c>
    </row>
    <row r="53">
      <c r="B53" s="144" t="str">
        <f>'Input Data'!I49</f>
        <v/>
      </c>
      <c r="C53" s="145">
        <f>'Input Data'!L49/100</f>
        <v>0</v>
      </c>
      <c r="D53" s="146" t="str">
        <f>'Input Data'!N49</f>
        <v/>
      </c>
      <c r="E53" s="146">
        <f>if(FV(($C$51/12),12,'Input Data'!$M49,-D53)&gt;0,FV(($C$51/12),12,'Input Data'!$M49,-D53),0)
</f>
        <v>0</v>
      </c>
      <c r="F53" s="146">
        <f>if(FV(($C$51/12),12,'Input Data'!$M49,-E53)&gt;0,FV(($C$51/12),12,'Input Data'!$M49,-E53),0)
</f>
        <v>0</v>
      </c>
      <c r="G53" s="146">
        <f>if(FV(($C$51/12),12,'Input Data'!$M49,-F53)&gt;0,FV(($C$51/12),12,'Input Data'!$M49,-F53),0)
</f>
        <v>0</v>
      </c>
      <c r="H53" s="146">
        <f>if(FV(($C$51/12),12,'Input Data'!$M49,-G53)&gt;0,FV(($C$51/12),12,'Input Data'!$M49,-G53),0)
</f>
        <v>0</v>
      </c>
      <c r="I53" s="146">
        <f>if(FV(($C$51/12),12,'Input Data'!$M49,-H53)&gt;0,FV(($C$51/12),12,'Input Data'!$M49,-H53),0)
</f>
        <v>0</v>
      </c>
      <c r="J53" s="146">
        <f>if(FV(($C$51/12),12,'Input Data'!$M49,-I53)&gt;0,FV(($C$51/12),12,'Input Data'!$M49,-I53),0)
</f>
        <v>0</v>
      </c>
      <c r="K53" s="146">
        <f>if(FV(($C$51/12),12,'Input Data'!$M49,-J53)&gt;0,FV(($C$51/12),12,'Input Data'!$M49,-J53),0)
</f>
        <v>0</v>
      </c>
      <c r="L53" s="146">
        <f>if(FV(($C$51/12),12,'Input Data'!$M49,-K53)&gt;0,FV(($C$51/12),12,'Input Data'!$M49,-K53),0)
</f>
        <v>0</v>
      </c>
      <c r="M53" s="146">
        <f>if(FV(($C$51/12),12,'Input Data'!$M49,-L53)&gt;0,FV(($C$51/12),12,'Input Data'!$M49,-L53),0)
</f>
        <v>0</v>
      </c>
      <c r="N53" s="146">
        <f>if(FV(($C$51/12),12,'Input Data'!$M49,-M53)&gt;0,FV(($C$51/12),12,'Input Data'!$M49,-M53),0)
</f>
        <v>0</v>
      </c>
      <c r="O53" s="146">
        <f>if(FV(($C$51/12),12,'Input Data'!$M49,-N53)&gt;0,FV(($C$51/12),12,'Input Data'!$M49,-N53),0)
</f>
        <v>0</v>
      </c>
      <c r="P53" s="146">
        <f>if(FV(($C$51/12),12,'Input Data'!$M49,-O53)&gt;0,FV(($C$51/12),12,'Input Data'!$M49,-O53),0)
</f>
        <v>0</v>
      </c>
      <c r="Q53" s="146">
        <f>if(FV(($C$51/12),12,'Input Data'!$M49,-P53)&gt;0,FV(($C$51/12),12,'Input Data'!$M49,-P53),0)
</f>
        <v>0</v>
      </c>
      <c r="R53" s="146">
        <f>if(FV(($C$51/12),12,'Input Data'!$M49,-Q53)&gt;0,FV(($C$51/12),12,'Input Data'!$M49,-Q53),0)
</f>
        <v>0</v>
      </c>
      <c r="S53" s="146">
        <f>if(FV(($C$51/12),12,'Input Data'!$M49,-R53)&gt;0,FV(($C$51/12),12,'Input Data'!$M49,-R53),0)
</f>
        <v>0</v>
      </c>
      <c r="T53" s="146">
        <f>if(FV(($C$51/12),12,'Input Data'!$M49,-S53)&gt;0,FV(($C$51/12),12,'Input Data'!$M49,-S53),0)
</f>
        <v>0</v>
      </c>
      <c r="U53" s="146">
        <f>if(FV(($C$51/12),12,'Input Data'!$M49,-T53)&gt;0,FV(($C$51/12),12,'Input Data'!$M49,-T53),0)
</f>
        <v>0</v>
      </c>
      <c r="V53" s="146">
        <f>if(FV(($C$51/12),12,'Input Data'!$M49,-U53)&gt;0,FV(($C$51/12),12,'Input Data'!$M49,-U53),0)
</f>
        <v>0</v>
      </c>
      <c r="W53" s="146">
        <f>if(FV(($C$51/12),12,'Input Data'!$M49,-V53)&gt;0,FV(($C$51/12),12,'Input Data'!$M49,-V53),0)
</f>
        <v>0</v>
      </c>
      <c r="X53" s="146">
        <f>if(FV(($C$51/12),12,'Input Data'!$M49,-W53)&gt;0,FV(($C$51/12),12,'Input Data'!$M49,-W53),0)
</f>
        <v>0</v>
      </c>
      <c r="Y53" s="146">
        <f>if(FV(($C$51/12),12,'Input Data'!$M49,-X53)&gt;0,FV(($C$51/12),12,'Input Data'!$M49,-X53),0)
</f>
        <v>0</v>
      </c>
      <c r="Z53" s="146">
        <f>if(FV(($C$51/12),12,'Input Data'!$M49,-Y53)&gt;0,FV(($C$51/12),12,'Input Data'!$M49,-Y53),0)
</f>
        <v>0</v>
      </c>
      <c r="AA53" s="146">
        <f>if(FV(($C$51/12),12,'Input Data'!$M49,-Z53)&gt;0,FV(($C$51/12),12,'Input Data'!$M49,-Z53),0)
</f>
        <v>0</v>
      </c>
      <c r="AB53" s="146">
        <f>if(FV(($C$51/12),12,'Input Data'!$M49,-AA53)&gt;0,FV(($C$51/12),12,'Input Data'!$M49,-AA53),0)
</f>
        <v>0</v>
      </c>
      <c r="AC53" s="146">
        <f>if(FV(($C$51/12),12,'Input Data'!$M49,-AB53)&gt;0,FV(($C$51/12),12,'Input Data'!$M49,-AB53),0)
</f>
        <v>0</v>
      </c>
      <c r="AD53" s="146">
        <f>if(FV(($C$51/12),12,'Input Data'!$M49,-AC53)&gt;0,FV(($C$51/12),12,'Input Data'!$M49,-AC53),0)
</f>
        <v>0</v>
      </c>
      <c r="AE53" s="146">
        <f>if(FV(($C$51/12),12,'Input Data'!$M49,-AD53)&gt;0,FV(($C$51/12),12,'Input Data'!$M49,-AD53),0)
</f>
        <v>0</v>
      </c>
      <c r="AF53" s="146">
        <f>if(FV(($C$51/12),12,'Input Data'!$M49,-AE53)&gt;0,FV(($C$51/12),12,'Input Data'!$M49,-AE53),0)
</f>
        <v>0</v>
      </c>
      <c r="AG53" s="146">
        <f>if(FV(($C$51/12),12,'Input Data'!$M49,-AF53)&gt;0,FV(($C$51/12),12,'Input Data'!$M49,-AF53),0)
</f>
        <v>0</v>
      </c>
      <c r="AH53" s="146">
        <f>if(FV(($C$51/12),12,'Input Data'!$M49,-AG53)&gt;0,FV(($C$51/12),12,'Input Data'!$M49,-AG53),0)
</f>
        <v>0</v>
      </c>
      <c r="AI53" s="146">
        <f>if(FV(($C$51/12),12,'Input Data'!$M49,-AH53)&gt;0,FV(($C$51/12),12,'Input Data'!$M49,-AH53),0)
</f>
        <v>0</v>
      </c>
      <c r="AJ53" s="146">
        <f>if(FV(($C$51/12),12,'Input Data'!$M49,-AI53)&gt;0,FV(($C$51/12),12,'Input Data'!$M49,-AI53),0)
</f>
        <v>0</v>
      </c>
      <c r="AK53" s="146">
        <f>if(FV(($C$51/12),12,'Input Data'!$M49,-AJ53)&gt;0,FV(($C$51/12),12,'Input Data'!$M49,-AJ53),0)
</f>
        <v>0</v>
      </c>
      <c r="AL53" s="146">
        <f>if(FV(($C$51/12),12,'Input Data'!$M49,-AK53)&gt;0,FV(($C$51/12),12,'Input Data'!$M49,-AK53),0)
</f>
        <v>0</v>
      </c>
      <c r="AM53" s="146">
        <f>if(FV(($C$51/12),12,'Input Data'!$M49,-AL53)&gt;0,FV(($C$51/12),12,'Input Data'!$M49,-AL53),0)
</f>
        <v>0</v>
      </c>
      <c r="AN53" s="146">
        <f>if(FV(($C$51/12),12,'Input Data'!$M49,-AM53)&gt;0,FV(($C$51/12),12,'Input Data'!$M49,-AM53),0)
</f>
        <v>0</v>
      </c>
      <c r="AO53" s="146">
        <f>if(FV(($C$51/12),12,'Input Data'!$M49,-AN53)&gt;0,FV(($C$51/12),12,'Input Data'!$M49,-AN53),0)
</f>
        <v>0</v>
      </c>
      <c r="AP53" s="146">
        <f>if(FV(($C$51/12),12,'Input Data'!$M49,-AO53)&gt;0,FV(($C$51/12),12,'Input Data'!$M49,-AO53),0)
</f>
        <v>0</v>
      </c>
      <c r="AQ53" s="146">
        <f>if(FV(($C$51/12),12,'Input Data'!$M49,-AP53)&gt;0,FV(($C$51/12),12,'Input Data'!$M49,-AP53),0)
</f>
        <v>0</v>
      </c>
      <c r="AR53" s="146">
        <f>if(FV(($C$51/12),12,'Input Data'!$M49,-AQ53)&gt;0,FV(($C$51/12),12,'Input Data'!$M49,-AQ53),0)
</f>
        <v>0</v>
      </c>
      <c r="AS53" s="146">
        <f>if(FV(($C$51/12),12,'Input Data'!$M49,-AR53)&gt;0,FV(($C$51/12),12,'Input Data'!$M49,-AR53),0)
</f>
        <v>0</v>
      </c>
      <c r="AT53" s="146">
        <f>if(FV(($C$51/12),12,'Input Data'!$M49,-AS53)&gt;0,FV(($C$51/12),12,'Input Data'!$M49,-AS53),0)
</f>
        <v>0</v>
      </c>
      <c r="AU53" s="146">
        <f>if(FV(($C$51/12),12,'Input Data'!$M49,-AT53)&gt;0,FV(($C$51/12),12,'Input Data'!$M49,-AT53),0)
</f>
        <v>0</v>
      </c>
      <c r="AV53" s="146">
        <f>if(FV(($C$51/12),12,'Input Data'!$M49,-AU53)&gt;0,FV(($C$51/12),12,'Input Data'!$M49,-AU53),0)
</f>
        <v>0</v>
      </c>
      <c r="AW53" s="146">
        <f>if(FV(($C$51/12),12,'Input Data'!$M49,-AV53)&gt;0,FV(($C$51/12),12,'Input Data'!$M49,-AV53),0)
</f>
        <v>0</v>
      </c>
      <c r="AX53" s="146">
        <f>if(FV(($C$51/12),12,'Input Data'!$M49,-AW53)&gt;0,FV(($C$51/12),12,'Input Data'!$M49,-AW53),0)
</f>
        <v>0</v>
      </c>
      <c r="AY53" s="146">
        <f>if(FV(($C$51/12),12,'Input Data'!$M49,-AX53)&gt;0,FV(($C$51/12),12,'Input Data'!$M49,-AX53),0)
</f>
        <v>0</v>
      </c>
      <c r="AZ53" s="146">
        <f>if(FV(($C$51/12),12,'Input Data'!$M49,-AY53)&gt;0,FV(($C$51/12),12,'Input Data'!$M49,-AY53),0)
</f>
        <v>0</v>
      </c>
    </row>
    <row r="54">
      <c r="B54" s="144" t="str">
        <f>'Input Data'!I50</f>
        <v/>
      </c>
      <c r="C54" s="145">
        <f>'Input Data'!L50/100</f>
        <v>0</v>
      </c>
      <c r="D54" s="146" t="str">
        <f>'Input Data'!N50</f>
        <v/>
      </c>
      <c r="E54" s="146">
        <f>if(FV(($C$51/12),12,'Input Data'!$M50,-D54)&gt;0,FV(($C$51/12),12,'Input Data'!$M50,-D54),0)
</f>
        <v>0</v>
      </c>
      <c r="F54" s="146">
        <f>if(FV(($C$51/12),12,'Input Data'!$M50,-E54)&gt;0,FV(($C$51/12),12,'Input Data'!$M50,-E54),0)
</f>
        <v>0</v>
      </c>
      <c r="G54" s="146">
        <f>if(FV(($C$51/12),12,'Input Data'!$M50,-F54)&gt;0,FV(($C$51/12),12,'Input Data'!$M50,-F54),0)
</f>
        <v>0</v>
      </c>
      <c r="H54" s="146">
        <f>if(FV(($C$51/12),12,'Input Data'!$M50,-G54)&gt;0,FV(($C$51/12),12,'Input Data'!$M50,-G54),0)
</f>
        <v>0</v>
      </c>
      <c r="I54" s="146">
        <f>if(FV(($C$51/12),12,'Input Data'!$M50,-H54)&gt;0,FV(($C$51/12),12,'Input Data'!$M50,-H54),0)
</f>
        <v>0</v>
      </c>
      <c r="J54" s="146">
        <f>if(FV(($C$51/12),12,'Input Data'!$M50,-I54)&gt;0,FV(($C$51/12),12,'Input Data'!$M50,-I54),0)
</f>
        <v>0</v>
      </c>
      <c r="K54" s="146">
        <f>if(FV(($C$51/12),12,'Input Data'!$M50,-J54)&gt;0,FV(($C$51/12),12,'Input Data'!$M50,-J54),0)
</f>
        <v>0</v>
      </c>
      <c r="L54" s="146">
        <f>if(FV(($C$51/12),12,'Input Data'!$M50,-K54)&gt;0,FV(($C$51/12),12,'Input Data'!$M50,-K54),0)
</f>
        <v>0</v>
      </c>
      <c r="M54" s="146">
        <f>if(FV(($C$51/12),12,'Input Data'!$M50,-L54)&gt;0,FV(($C$51/12),12,'Input Data'!$M50,-L54),0)
</f>
        <v>0</v>
      </c>
      <c r="N54" s="146">
        <f>if(FV(($C$51/12),12,'Input Data'!$M50,-M54)&gt;0,FV(($C$51/12),12,'Input Data'!$M50,-M54),0)
</f>
        <v>0</v>
      </c>
      <c r="O54" s="146">
        <f>if(FV(($C$51/12),12,'Input Data'!$M50,-N54)&gt;0,FV(($C$51/12),12,'Input Data'!$M50,-N54),0)
</f>
        <v>0</v>
      </c>
      <c r="P54" s="146">
        <f>if(FV(($C$51/12),12,'Input Data'!$M50,-O54)&gt;0,FV(($C$51/12),12,'Input Data'!$M50,-O54),0)
</f>
        <v>0</v>
      </c>
      <c r="Q54" s="146">
        <f>if(FV(($C$51/12),12,'Input Data'!$M50,-P54)&gt;0,FV(($C$51/12),12,'Input Data'!$M50,-P54),0)
</f>
        <v>0</v>
      </c>
      <c r="R54" s="146">
        <f>if(FV(($C$51/12),12,'Input Data'!$M50,-Q54)&gt;0,FV(($C$51/12),12,'Input Data'!$M50,-Q54),0)
</f>
        <v>0</v>
      </c>
      <c r="S54" s="146">
        <f>if(FV(($C$51/12),12,'Input Data'!$M50,-R54)&gt;0,FV(($C$51/12),12,'Input Data'!$M50,-R54),0)
</f>
        <v>0</v>
      </c>
      <c r="T54" s="146">
        <f>if(FV(($C$51/12),12,'Input Data'!$M50,-S54)&gt;0,FV(($C$51/12),12,'Input Data'!$M50,-S54),0)
</f>
        <v>0</v>
      </c>
      <c r="U54" s="146">
        <f>if(FV(($C$51/12),12,'Input Data'!$M50,-T54)&gt;0,FV(($C$51/12),12,'Input Data'!$M50,-T54),0)
</f>
        <v>0</v>
      </c>
      <c r="V54" s="146">
        <f>if(FV(($C$51/12),12,'Input Data'!$M50,-U54)&gt;0,FV(($C$51/12),12,'Input Data'!$M50,-U54),0)
</f>
        <v>0</v>
      </c>
      <c r="W54" s="146">
        <f>if(FV(($C$51/12),12,'Input Data'!$M50,-V54)&gt;0,FV(($C$51/12),12,'Input Data'!$M50,-V54),0)
</f>
        <v>0</v>
      </c>
      <c r="X54" s="146">
        <f>if(FV(($C$51/12),12,'Input Data'!$M50,-W54)&gt;0,FV(($C$51/12),12,'Input Data'!$M50,-W54),0)
</f>
        <v>0</v>
      </c>
      <c r="Y54" s="146">
        <f>if(FV(($C$51/12),12,'Input Data'!$M50,-X54)&gt;0,FV(($C$51/12),12,'Input Data'!$M50,-X54),0)
</f>
        <v>0</v>
      </c>
      <c r="Z54" s="146">
        <f>if(FV(($C$51/12),12,'Input Data'!$M50,-Y54)&gt;0,FV(($C$51/12),12,'Input Data'!$M50,-Y54),0)
</f>
        <v>0</v>
      </c>
      <c r="AA54" s="146">
        <f>if(FV(($C$51/12),12,'Input Data'!$M50,-Z54)&gt;0,FV(($C$51/12),12,'Input Data'!$M50,-Z54),0)
</f>
        <v>0</v>
      </c>
      <c r="AB54" s="146">
        <f>if(FV(($C$51/12),12,'Input Data'!$M50,-AA54)&gt;0,FV(($C$51/12),12,'Input Data'!$M50,-AA54),0)
</f>
        <v>0</v>
      </c>
      <c r="AC54" s="146">
        <f>if(FV(($C$51/12),12,'Input Data'!$M50,-AB54)&gt;0,FV(($C$51/12),12,'Input Data'!$M50,-AB54),0)
</f>
        <v>0</v>
      </c>
      <c r="AD54" s="146">
        <f>if(FV(($C$51/12),12,'Input Data'!$M50,-AC54)&gt;0,FV(($C$51/12),12,'Input Data'!$M50,-AC54),0)
</f>
        <v>0</v>
      </c>
      <c r="AE54" s="146">
        <f>if(FV(($C$51/12),12,'Input Data'!$M50,-AD54)&gt;0,FV(($C$51/12),12,'Input Data'!$M50,-AD54),0)
</f>
        <v>0</v>
      </c>
      <c r="AF54" s="146">
        <f>if(FV(($C$51/12),12,'Input Data'!$M50,-AE54)&gt;0,FV(($C$51/12),12,'Input Data'!$M50,-AE54),0)
</f>
        <v>0</v>
      </c>
      <c r="AG54" s="146">
        <f>if(FV(($C$51/12),12,'Input Data'!$M50,-AF54)&gt;0,FV(($C$51/12),12,'Input Data'!$M50,-AF54),0)
</f>
        <v>0</v>
      </c>
      <c r="AH54" s="146">
        <f>if(FV(($C$51/12),12,'Input Data'!$M50,-AG54)&gt;0,FV(($C$51/12),12,'Input Data'!$M50,-AG54),0)
</f>
        <v>0</v>
      </c>
      <c r="AI54" s="146">
        <f>if(FV(($C$51/12),12,'Input Data'!$M50,-AH54)&gt;0,FV(($C$51/12),12,'Input Data'!$M50,-AH54),0)
</f>
        <v>0</v>
      </c>
      <c r="AJ54" s="146">
        <f>if(FV(($C$51/12),12,'Input Data'!$M50,-AI54)&gt;0,FV(($C$51/12),12,'Input Data'!$M50,-AI54),0)
</f>
        <v>0</v>
      </c>
      <c r="AK54" s="146">
        <f>if(FV(($C$51/12),12,'Input Data'!$M50,-AJ54)&gt;0,FV(($C$51/12),12,'Input Data'!$M50,-AJ54),0)
</f>
        <v>0</v>
      </c>
      <c r="AL54" s="146">
        <f>if(FV(($C$51/12),12,'Input Data'!$M50,-AK54)&gt;0,FV(($C$51/12),12,'Input Data'!$M50,-AK54),0)
</f>
        <v>0</v>
      </c>
      <c r="AM54" s="146">
        <f>if(FV(($C$51/12),12,'Input Data'!$M50,-AL54)&gt;0,FV(($C$51/12),12,'Input Data'!$M50,-AL54),0)
</f>
        <v>0</v>
      </c>
      <c r="AN54" s="146">
        <f>if(FV(($C$51/12),12,'Input Data'!$M50,-AM54)&gt;0,FV(($C$51/12),12,'Input Data'!$M50,-AM54),0)
</f>
        <v>0</v>
      </c>
      <c r="AO54" s="146">
        <f>if(FV(($C$51/12),12,'Input Data'!$M50,-AN54)&gt;0,FV(($C$51/12),12,'Input Data'!$M50,-AN54),0)
</f>
        <v>0</v>
      </c>
      <c r="AP54" s="146">
        <f>if(FV(($C$51/12),12,'Input Data'!$M50,-AO54)&gt;0,FV(($C$51/12),12,'Input Data'!$M50,-AO54),0)
</f>
        <v>0</v>
      </c>
      <c r="AQ54" s="146">
        <f>if(FV(($C$51/12),12,'Input Data'!$M50,-AP54)&gt;0,FV(($C$51/12),12,'Input Data'!$M50,-AP54),0)
</f>
        <v>0</v>
      </c>
      <c r="AR54" s="146">
        <f>if(FV(($C$51/12),12,'Input Data'!$M50,-AQ54)&gt;0,FV(($C$51/12),12,'Input Data'!$M50,-AQ54),0)
</f>
        <v>0</v>
      </c>
      <c r="AS54" s="146">
        <f>if(FV(($C$51/12),12,'Input Data'!$M50,-AR54)&gt;0,FV(($C$51/12),12,'Input Data'!$M50,-AR54),0)
</f>
        <v>0</v>
      </c>
      <c r="AT54" s="146">
        <f>if(FV(($C$51/12),12,'Input Data'!$M50,-AS54)&gt;0,FV(($C$51/12),12,'Input Data'!$M50,-AS54),0)
</f>
        <v>0</v>
      </c>
      <c r="AU54" s="146">
        <f>if(FV(($C$51/12),12,'Input Data'!$M50,-AT54)&gt;0,FV(($C$51/12),12,'Input Data'!$M50,-AT54),0)
</f>
        <v>0</v>
      </c>
      <c r="AV54" s="146">
        <f>if(FV(($C$51/12),12,'Input Data'!$M50,-AU54)&gt;0,FV(($C$51/12),12,'Input Data'!$M50,-AU54),0)
</f>
        <v>0</v>
      </c>
      <c r="AW54" s="146">
        <f>if(FV(($C$51/12),12,'Input Data'!$M50,-AV54)&gt;0,FV(($C$51/12),12,'Input Data'!$M50,-AV54),0)
</f>
        <v>0</v>
      </c>
      <c r="AX54" s="146">
        <f>if(FV(($C$51/12),12,'Input Data'!$M50,-AW54)&gt;0,FV(($C$51/12),12,'Input Data'!$M50,-AW54),0)
</f>
        <v>0</v>
      </c>
      <c r="AY54" s="146">
        <f>if(FV(($C$51/12),12,'Input Data'!$M50,-AX54)&gt;0,FV(($C$51/12),12,'Input Data'!$M50,-AX54),0)
</f>
        <v>0</v>
      </c>
      <c r="AZ54" s="146">
        <f>if(FV(($C$51/12),12,'Input Data'!$M50,-AY54)&gt;0,FV(($C$51/12),12,'Input Data'!$M50,-AY54),0)
</f>
        <v>0</v>
      </c>
    </row>
    <row r="55">
      <c r="B55" s="144" t="str">
        <f>'Input Data'!I51</f>
        <v/>
      </c>
      <c r="C55" s="145">
        <f>'Input Data'!L51/100</f>
        <v>0</v>
      </c>
      <c r="D55" s="146" t="str">
        <f>'Input Data'!N51</f>
        <v/>
      </c>
      <c r="E55" s="146">
        <f>if(FV(($C$51/12),12,'Input Data'!$M51,-D55)&gt;0,FV(($C$51/12),12,'Input Data'!$M51,-D55),0)
</f>
        <v>0</v>
      </c>
      <c r="F55" s="146">
        <f>if(FV(($C$51/12),12,'Input Data'!$M51,-E55)&gt;0,FV(($C$51/12),12,'Input Data'!$M51,-E55),0)
</f>
        <v>0</v>
      </c>
      <c r="G55" s="146">
        <f>if(FV(($C$51/12),12,'Input Data'!$M51,-F55)&gt;0,FV(($C$51/12),12,'Input Data'!$M51,-F55),0)
</f>
        <v>0</v>
      </c>
      <c r="H55" s="146">
        <f>if(FV(($C$51/12),12,'Input Data'!$M51,-G55)&gt;0,FV(($C$51/12),12,'Input Data'!$M51,-G55),0)
</f>
        <v>0</v>
      </c>
      <c r="I55" s="146">
        <f>if(FV(($C$51/12),12,'Input Data'!$M51,-H55)&gt;0,FV(($C$51/12),12,'Input Data'!$M51,-H55),0)
</f>
        <v>0</v>
      </c>
      <c r="J55" s="146">
        <f>if(FV(($C$51/12),12,'Input Data'!$M51,-I55)&gt;0,FV(($C$51/12),12,'Input Data'!$M51,-I55),0)
</f>
        <v>0</v>
      </c>
      <c r="K55" s="146">
        <f>if(FV(($C$51/12),12,'Input Data'!$M51,-J55)&gt;0,FV(($C$51/12),12,'Input Data'!$M51,-J55),0)
</f>
        <v>0</v>
      </c>
      <c r="L55" s="146">
        <f>if(FV(($C$51/12),12,'Input Data'!$M51,-K55)&gt;0,FV(($C$51/12),12,'Input Data'!$M51,-K55),0)
</f>
        <v>0</v>
      </c>
      <c r="M55" s="146">
        <f>if(FV(($C$51/12),12,'Input Data'!$M51,-L55)&gt;0,FV(($C$51/12),12,'Input Data'!$M51,-L55),0)
</f>
        <v>0</v>
      </c>
      <c r="N55" s="146">
        <f>if(FV(($C$51/12),12,'Input Data'!$M51,-M55)&gt;0,FV(($C$51/12),12,'Input Data'!$M51,-M55),0)
</f>
        <v>0</v>
      </c>
      <c r="O55" s="146">
        <f>if(FV(($C$51/12),12,'Input Data'!$M51,-N55)&gt;0,FV(($C$51/12),12,'Input Data'!$M51,-N55),0)
</f>
        <v>0</v>
      </c>
      <c r="P55" s="146">
        <f>if(FV(($C$51/12),12,'Input Data'!$M51,-O55)&gt;0,FV(($C$51/12),12,'Input Data'!$M51,-O55),0)
</f>
        <v>0</v>
      </c>
      <c r="Q55" s="146">
        <f>if(FV(($C$51/12),12,'Input Data'!$M51,-P55)&gt;0,FV(($C$51/12),12,'Input Data'!$M51,-P55),0)
</f>
        <v>0</v>
      </c>
      <c r="R55" s="146">
        <f>if(FV(($C$51/12),12,'Input Data'!$M51,-Q55)&gt;0,FV(($C$51/12),12,'Input Data'!$M51,-Q55),0)
</f>
        <v>0</v>
      </c>
      <c r="S55" s="146">
        <f>if(FV(($C$51/12),12,'Input Data'!$M51,-R55)&gt;0,FV(($C$51/12),12,'Input Data'!$M51,-R55),0)
</f>
        <v>0</v>
      </c>
      <c r="T55" s="146">
        <f>if(FV(($C$51/12),12,'Input Data'!$M51,-S55)&gt;0,FV(($C$51/12),12,'Input Data'!$M51,-S55),0)
</f>
        <v>0</v>
      </c>
      <c r="U55" s="146">
        <f>if(FV(($C$51/12),12,'Input Data'!$M51,-T55)&gt;0,FV(($C$51/12),12,'Input Data'!$M51,-T55),0)
</f>
        <v>0</v>
      </c>
      <c r="V55" s="146">
        <f>if(FV(($C$51/12),12,'Input Data'!$M51,-U55)&gt;0,FV(($C$51/12),12,'Input Data'!$M51,-U55),0)
</f>
        <v>0</v>
      </c>
      <c r="W55" s="146">
        <f>if(FV(($C$51/12),12,'Input Data'!$M51,-V55)&gt;0,FV(($C$51/12),12,'Input Data'!$M51,-V55),0)
</f>
        <v>0</v>
      </c>
      <c r="X55" s="146">
        <f>if(FV(($C$51/12),12,'Input Data'!$M51,-W55)&gt;0,FV(($C$51/12),12,'Input Data'!$M51,-W55),0)
</f>
        <v>0</v>
      </c>
      <c r="Y55" s="146">
        <f>if(FV(($C$51/12),12,'Input Data'!$M51,-X55)&gt;0,FV(($C$51/12),12,'Input Data'!$M51,-X55),0)
</f>
        <v>0</v>
      </c>
      <c r="Z55" s="146">
        <f>if(FV(($C$51/12),12,'Input Data'!$M51,-Y55)&gt;0,FV(($C$51/12),12,'Input Data'!$M51,-Y55),0)
</f>
        <v>0</v>
      </c>
      <c r="AA55" s="146">
        <f>if(FV(($C$51/12),12,'Input Data'!$M51,-Z55)&gt;0,FV(($C$51/12),12,'Input Data'!$M51,-Z55),0)
</f>
        <v>0</v>
      </c>
      <c r="AB55" s="146">
        <f>if(FV(($C$51/12),12,'Input Data'!$M51,-AA55)&gt;0,FV(($C$51/12),12,'Input Data'!$M51,-AA55),0)
</f>
        <v>0</v>
      </c>
      <c r="AC55" s="146">
        <f>if(FV(($C$51/12),12,'Input Data'!$M51,-AB55)&gt;0,FV(($C$51/12),12,'Input Data'!$M51,-AB55),0)
</f>
        <v>0</v>
      </c>
      <c r="AD55" s="146">
        <f>if(FV(($C$51/12),12,'Input Data'!$M51,-AC55)&gt;0,FV(($C$51/12),12,'Input Data'!$M51,-AC55),0)
</f>
        <v>0</v>
      </c>
      <c r="AE55" s="146">
        <f>if(FV(($C$51/12),12,'Input Data'!$M51,-AD55)&gt;0,FV(($C$51/12),12,'Input Data'!$M51,-AD55),0)
</f>
        <v>0</v>
      </c>
      <c r="AF55" s="146">
        <f>if(FV(($C$51/12),12,'Input Data'!$M51,-AE55)&gt;0,FV(($C$51/12),12,'Input Data'!$M51,-AE55),0)
</f>
        <v>0</v>
      </c>
      <c r="AG55" s="146">
        <f>if(FV(($C$51/12),12,'Input Data'!$M51,-AF55)&gt;0,FV(($C$51/12),12,'Input Data'!$M51,-AF55),0)
</f>
        <v>0</v>
      </c>
      <c r="AH55" s="146">
        <f>if(FV(($C$51/12),12,'Input Data'!$M51,-AG55)&gt;0,FV(($C$51/12),12,'Input Data'!$M51,-AG55),0)
</f>
        <v>0</v>
      </c>
      <c r="AI55" s="146">
        <f>if(FV(($C$51/12),12,'Input Data'!$M51,-AH55)&gt;0,FV(($C$51/12),12,'Input Data'!$M51,-AH55),0)
</f>
        <v>0</v>
      </c>
      <c r="AJ55" s="146">
        <f>if(FV(($C$51/12),12,'Input Data'!$M51,-AI55)&gt;0,FV(($C$51/12),12,'Input Data'!$M51,-AI55),0)
</f>
        <v>0</v>
      </c>
      <c r="AK55" s="146">
        <f>if(FV(($C$51/12),12,'Input Data'!$M51,-AJ55)&gt;0,FV(($C$51/12),12,'Input Data'!$M51,-AJ55),0)
</f>
        <v>0</v>
      </c>
      <c r="AL55" s="146">
        <f>if(FV(($C$51/12),12,'Input Data'!$M51,-AK55)&gt;0,FV(($C$51/12),12,'Input Data'!$M51,-AK55),0)
</f>
        <v>0</v>
      </c>
      <c r="AM55" s="146">
        <f>if(FV(($C$51/12),12,'Input Data'!$M51,-AL55)&gt;0,FV(($C$51/12),12,'Input Data'!$M51,-AL55),0)
</f>
        <v>0</v>
      </c>
      <c r="AN55" s="146">
        <f>if(FV(($C$51/12),12,'Input Data'!$M51,-AM55)&gt;0,FV(($C$51/12),12,'Input Data'!$M51,-AM55),0)
</f>
        <v>0</v>
      </c>
      <c r="AO55" s="146">
        <f>if(FV(($C$51/12),12,'Input Data'!$M51,-AN55)&gt;0,FV(($C$51/12),12,'Input Data'!$M51,-AN55),0)
</f>
        <v>0</v>
      </c>
      <c r="AP55" s="146">
        <f>if(FV(($C$51/12),12,'Input Data'!$M51,-AO55)&gt;0,FV(($C$51/12),12,'Input Data'!$M51,-AO55),0)
</f>
        <v>0</v>
      </c>
      <c r="AQ55" s="146">
        <f>if(FV(($C$51/12),12,'Input Data'!$M51,-AP55)&gt;0,FV(($C$51/12),12,'Input Data'!$M51,-AP55),0)
</f>
        <v>0</v>
      </c>
      <c r="AR55" s="146">
        <f>if(FV(($C$51/12),12,'Input Data'!$M51,-AQ55)&gt;0,FV(($C$51/12),12,'Input Data'!$M51,-AQ55),0)
</f>
        <v>0</v>
      </c>
      <c r="AS55" s="146">
        <f>if(FV(($C$51/12),12,'Input Data'!$M51,-AR55)&gt;0,FV(($C$51/12),12,'Input Data'!$M51,-AR55),0)
</f>
        <v>0</v>
      </c>
      <c r="AT55" s="146">
        <f>if(FV(($C$51/12),12,'Input Data'!$M51,-AS55)&gt;0,FV(($C$51/12),12,'Input Data'!$M51,-AS55),0)
</f>
        <v>0</v>
      </c>
      <c r="AU55" s="146">
        <f>if(FV(($C$51/12),12,'Input Data'!$M51,-AT55)&gt;0,FV(($C$51/12),12,'Input Data'!$M51,-AT55),0)
</f>
        <v>0</v>
      </c>
      <c r="AV55" s="146">
        <f>if(FV(($C$51/12),12,'Input Data'!$M51,-AU55)&gt;0,FV(($C$51/12),12,'Input Data'!$M51,-AU55),0)
</f>
        <v>0</v>
      </c>
      <c r="AW55" s="146">
        <f>if(FV(($C$51/12),12,'Input Data'!$M51,-AV55)&gt;0,FV(($C$51/12),12,'Input Data'!$M51,-AV55),0)
</f>
        <v>0</v>
      </c>
      <c r="AX55" s="146">
        <f>if(FV(($C$51/12),12,'Input Data'!$M51,-AW55)&gt;0,FV(($C$51/12),12,'Input Data'!$M51,-AW55),0)
</f>
        <v>0</v>
      </c>
      <c r="AY55" s="146">
        <f>if(FV(($C$51/12),12,'Input Data'!$M51,-AX55)&gt;0,FV(($C$51/12),12,'Input Data'!$M51,-AX55),0)
</f>
        <v>0</v>
      </c>
      <c r="AZ55" s="146">
        <f>if(FV(($C$51/12),12,'Input Data'!$M51,-AY55)&gt;0,FV(($C$51/12),12,'Input Data'!$M51,-AY55),0)
</f>
        <v>0</v>
      </c>
    </row>
    <row r="56">
      <c r="B56" s="147" t="s">
        <v>307</v>
      </c>
      <c r="C56" s="153"/>
      <c r="D56" s="158">
        <f t="shared" ref="D56:AZ56" si="17">subtotal(9,D51:D55)</f>
        <v>-346257</v>
      </c>
      <c r="E56" s="158">
        <f t="shared" si="17"/>
        <v>-324516.8174</v>
      </c>
      <c r="F56" s="158">
        <f t="shared" si="17"/>
        <v>-302457.0955</v>
      </c>
      <c r="G56" s="158">
        <f t="shared" si="17"/>
        <v>-280073.1378</v>
      </c>
      <c r="H56" s="158">
        <f t="shared" si="17"/>
        <v>-257360.1784</v>
      </c>
      <c r="I56" s="158">
        <f t="shared" si="17"/>
        <v>-234313.3818</v>
      </c>
      <c r="J56" s="158">
        <f t="shared" si="17"/>
        <v>-210927.8412</v>
      </c>
      <c r="K56" s="158">
        <f t="shared" si="17"/>
        <v>-187198.5777</v>
      </c>
      <c r="L56" s="158">
        <f t="shared" si="17"/>
        <v>-163120.5392</v>
      </c>
      <c r="M56" s="158">
        <f t="shared" si="17"/>
        <v>-138688.5994</v>
      </c>
      <c r="N56" s="158">
        <f t="shared" si="17"/>
        <v>-113897.5566</v>
      </c>
      <c r="O56" s="158">
        <f t="shared" si="17"/>
        <v>-88742.13271</v>
      </c>
      <c r="P56" s="158">
        <f t="shared" si="17"/>
        <v>-63216.97197</v>
      </c>
      <c r="Q56" s="158">
        <f t="shared" si="17"/>
        <v>-37316.63998</v>
      </c>
      <c r="R56" s="158">
        <f t="shared" si="17"/>
        <v>-11035.62242</v>
      </c>
      <c r="S56" s="158">
        <f t="shared" si="17"/>
        <v>0</v>
      </c>
      <c r="T56" s="158">
        <f t="shared" si="17"/>
        <v>0</v>
      </c>
      <c r="U56" s="158">
        <f t="shared" si="17"/>
        <v>0</v>
      </c>
      <c r="V56" s="158">
        <f t="shared" si="17"/>
        <v>0</v>
      </c>
      <c r="W56" s="158">
        <f t="shared" si="17"/>
        <v>0</v>
      </c>
      <c r="X56" s="158">
        <f t="shared" si="17"/>
        <v>0</v>
      </c>
      <c r="Y56" s="158">
        <f t="shared" si="17"/>
        <v>0</v>
      </c>
      <c r="Z56" s="158">
        <f t="shared" si="17"/>
        <v>0</v>
      </c>
      <c r="AA56" s="158">
        <f t="shared" si="17"/>
        <v>0</v>
      </c>
      <c r="AB56" s="158">
        <f t="shared" si="17"/>
        <v>0</v>
      </c>
      <c r="AC56" s="158">
        <f t="shared" si="17"/>
        <v>0</v>
      </c>
      <c r="AD56" s="158">
        <f t="shared" si="17"/>
        <v>0</v>
      </c>
      <c r="AE56" s="158">
        <f t="shared" si="17"/>
        <v>0</v>
      </c>
      <c r="AF56" s="158">
        <f t="shared" si="17"/>
        <v>0</v>
      </c>
      <c r="AG56" s="158">
        <f t="shared" si="17"/>
        <v>0</v>
      </c>
      <c r="AH56" s="158">
        <f t="shared" si="17"/>
        <v>0</v>
      </c>
      <c r="AI56" s="158">
        <f t="shared" si="17"/>
        <v>0</v>
      </c>
      <c r="AJ56" s="158">
        <f t="shared" si="17"/>
        <v>0</v>
      </c>
      <c r="AK56" s="158">
        <f t="shared" si="17"/>
        <v>0</v>
      </c>
      <c r="AL56" s="158">
        <f t="shared" si="17"/>
        <v>0</v>
      </c>
      <c r="AM56" s="158">
        <f t="shared" si="17"/>
        <v>0</v>
      </c>
      <c r="AN56" s="158">
        <f t="shared" si="17"/>
        <v>0</v>
      </c>
      <c r="AO56" s="158">
        <f t="shared" si="17"/>
        <v>0</v>
      </c>
      <c r="AP56" s="158">
        <f t="shared" si="17"/>
        <v>0</v>
      </c>
      <c r="AQ56" s="158">
        <f t="shared" si="17"/>
        <v>0</v>
      </c>
      <c r="AR56" s="158">
        <f t="shared" si="17"/>
        <v>0</v>
      </c>
      <c r="AS56" s="158">
        <f t="shared" si="17"/>
        <v>0</v>
      </c>
      <c r="AT56" s="158">
        <f t="shared" si="17"/>
        <v>0</v>
      </c>
      <c r="AU56" s="158">
        <f t="shared" si="17"/>
        <v>0</v>
      </c>
      <c r="AV56" s="158">
        <f t="shared" si="17"/>
        <v>0</v>
      </c>
      <c r="AW56" s="158">
        <f t="shared" si="17"/>
        <v>0</v>
      </c>
      <c r="AX56" s="158">
        <f t="shared" si="17"/>
        <v>0</v>
      </c>
      <c r="AY56" s="158">
        <f t="shared" si="17"/>
        <v>0</v>
      </c>
      <c r="AZ56" s="158">
        <f t="shared" si="17"/>
        <v>0</v>
      </c>
    </row>
    <row r="57">
      <c r="B57" s="159"/>
      <c r="C57" s="30"/>
      <c r="D57" s="30"/>
      <c r="E57" s="30"/>
    </row>
    <row r="58">
      <c r="B58" s="147" t="s">
        <v>308</v>
      </c>
      <c r="C58" s="30"/>
      <c r="D58" s="160">
        <f t="shared" ref="D58:AZ58" si="18">D46+D56</f>
        <v>-123723.33</v>
      </c>
      <c r="E58" s="160">
        <f t="shared" si="18"/>
        <v>-89181.92327</v>
      </c>
      <c r="F58" s="160">
        <f t="shared" si="18"/>
        <v>823.0438665</v>
      </c>
      <c r="G58" s="160">
        <f t="shared" si="18"/>
        <v>92378.29434</v>
      </c>
      <c r="H58" s="160">
        <f t="shared" si="18"/>
        <v>185576.5014</v>
      </c>
      <c r="I58" s="160">
        <f t="shared" si="18"/>
        <v>280516.7113</v>
      </c>
      <c r="J58" s="160">
        <f t="shared" si="18"/>
        <v>377304.7963</v>
      </c>
      <c r="K58" s="160">
        <f t="shared" si="18"/>
        <v>476053.94</v>
      </c>
      <c r="L58" s="160">
        <f t="shared" si="18"/>
        <v>576885.1575</v>
      </c>
      <c r="M58" s="160">
        <f t="shared" si="18"/>
        <v>679927.8525</v>
      </c>
      <c r="N58" s="160">
        <f t="shared" si="18"/>
        <v>785320.4151</v>
      </c>
      <c r="O58" s="160">
        <f t="shared" si="18"/>
        <v>893210.861</v>
      </c>
      <c r="P58" s="160">
        <f t="shared" si="18"/>
        <v>1003757.518</v>
      </c>
      <c r="Q58" s="160">
        <f t="shared" si="18"/>
        <v>1117129.761</v>
      </c>
      <c r="R58" s="160">
        <f t="shared" si="18"/>
        <v>1233508.799</v>
      </c>
      <c r="S58" s="160">
        <f t="shared" si="18"/>
        <v>1337456.844</v>
      </c>
      <c r="T58" s="160">
        <f t="shared" si="18"/>
        <v>1433385.46</v>
      </c>
      <c r="U58" s="160">
        <f t="shared" si="18"/>
        <v>1532546.531</v>
      </c>
      <c r="V58" s="160">
        <f t="shared" si="18"/>
        <v>1635171.824</v>
      </c>
      <c r="W58" s="160">
        <f t="shared" si="18"/>
        <v>1741509.724</v>
      </c>
      <c r="X58" s="160">
        <f t="shared" si="18"/>
        <v>1851826.425</v>
      </c>
      <c r="Y58" s="160">
        <f t="shared" si="18"/>
        <v>1966407.206</v>
      </c>
      <c r="Z58" s="160">
        <f t="shared" si="18"/>
        <v>2085557.803</v>
      </c>
      <c r="AA58" s="160">
        <f t="shared" si="18"/>
        <v>2209605.872</v>
      </c>
      <c r="AB58" s="160">
        <f t="shared" si="18"/>
        <v>2338902.56</v>
      </c>
      <c r="AC58" s="160">
        <f t="shared" si="18"/>
        <v>2473824.193</v>
      </c>
      <c r="AD58" s="160">
        <f t="shared" si="18"/>
        <v>2614774.082</v>
      </c>
      <c r="AE58" s="160">
        <f t="shared" si="18"/>
        <v>2762184.45</v>
      </c>
      <c r="AF58" s="160">
        <f t="shared" si="18"/>
        <v>2916518.516</v>
      </c>
      <c r="AG58" s="160">
        <f t="shared" si="18"/>
        <v>3078272.707</v>
      </c>
      <c r="AH58" s="160">
        <f t="shared" si="18"/>
        <v>3247979.048</v>
      </c>
      <c r="AI58" s="160">
        <f t="shared" si="18"/>
        <v>3426207.706</v>
      </c>
      <c r="AJ58" s="160">
        <f t="shared" si="18"/>
        <v>3613569.732</v>
      </c>
      <c r="AK58" s="160">
        <f t="shared" si="18"/>
        <v>3810719.989</v>
      </c>
      <c r="AL58" s="160">
        <f t="shared" si="18"/>
        <v>4018360.293</v>
      </c>
      <c r="AM58" s="160">
        <f t="shared" si="18"/>
        <v>4237242.779</v>
      </c>
      <c r="AN58" s="160">
        <f t="shared" si="18"/>
        <v>4468173.514</v>
      </c>
      <c r="AO58" s="160">
        <f t="shared" si="18"/>
        <v>4712016.355</v>
      </c>
      <c r="AP58" s="160">
        <f t="shared" si="18"/>
        <v>4969697.102</v>
      </c>
      <c r="AQ58" s="160">
        <f t="shared" si="18"/>
        <v>5242207.931</v>
      </c>
      <c r="AR58" s="160">
        <f t="shared" si="18"/>
        <v>5530612.16</v>
      </c>
      <c r="AS58" s="160">
        <f t="shared" si="18"/>
        <v>5836049.346</v>
      </c>
      <c r="AT58" s="160">
        <f t="shared" si="18"/>
        <v>6159740.752</v>
      </c>
      <c r="AU58" s="160">
        <f t="shared" si="18"/>
        <v>6502995.204</v>
      </c>
      <c r="AV58" s="160">
        <f t="shared" si="18"/>
        <v>6867215.374</v>
      </c>
      <c r="AW58" s="160">
        <f t="shared" si="18"/>
        <v>7253904.504</v>
      </c>
      <c r="AX58" s="160">
        <f t="shared" si="18"/>
        <v>7664673.618</v>
      </c>
      <c r="AY58" s="160">
        <f t="shared" si="18"/>
        <v>8101249.25</v>
      </c>
      <c r="AZ58" s="160">
        <f t="shared" si="18"/>
        <v>8565481.729</v>
      </c>
    </row>
    <row r="59">
      <c r="B59" s="159"/>
      <c r="C59" s="30"/>
      <c r="D59" s="30"/>
      <c r="E59" s="30"/>
    </row>
    <row r="60">
      <c r="B60" s="159"/>
      <c r="C60" s="30"/>
      <c r="D60" s="30"/>
      <c r="E60" s="30"/>
    </row>
    <row r="62">
      <c r="B62" s="161" t="s">
        <v>309</v>
      </c>
      <c r="C62" s="162" t="str">
        <f>"1 year ("&amp;(Year(today())+1)&amp;")"</f>
        <v>1 year (2026)</v>
      </c>
      <c r="D62" s="162" t="str">
        <f>"5 years ("&amp;(Year(today())+5)&amp;")"</f>
        <v>5 years (2030)</v>
      </c>
      <c r="E62" s="162" t="str">
        <f>"10 years ("&amp;(Year(today())+10)&amp;")"</f>
        <v>10 years (2035)</v>
      </c>
      <c r="F62" s="162" t="str">
        <f>"20 years ("&amp;(Year(today())+20)&amp;")"</f>
        <v>20 years (2045)</v>
      </c>
    </row>
    <row r="63">
      <c r="B63" s="163" t="s">
        <v>310</v>
      </c>
      <c r="C63" s="164">
        <f>E58</f>
        <v>-89181.92327</v>
      </c>
      <c r="D63" s="164">
        <f>I58</f>
        <v>280516.7113</v>
      </c>
      <c r="E63" s="164">
        <f>N58</f>
        <v>785320.4151</v>
      </c>
      <c r="F63" s="164">
        <f>X58</f>
        <v>1851826.425</v>
      </c>
    </row>
    <row r="64">
      <c r="B64" s="165" t="str">
        <f>"Delta from "&amp;Right(D49,10)</f>
        <v>Delta from  June 2025</v>
      </c>
      <c r="C64" s="164">
        <f t="shared" ref="C64:F64" si="19">C63-$D$58</f>
        <v>34541.40673</v>
      </c>
      <c r="D64" s="164">
        <f t="shared" si="19"/>
        <v>404240.0413</v>
      </c>
      <c r="E64" s="164">
        <f t="shared" si="19"/>
        <v>909043.7451</v>
      </c>
      <c r="F64" s="164">
        <f t="shared" si="19"/>
        <v>1975549.755</v>
      </c>
    </row>
    <row r="65">
      <c r="B65" s="165" t="s">
        <v>251</v>
      </c>
      <c r="C65" s="166">
        <f>C64/$C$63</f>
        <v>-0.3873139922</v>
      </c>
      <c r="D65" s="166">
        <f>D64/$D$63</f>
        <v>1.441055114</v>
      </c>
      <c r="E65" s="166">
        <f>E64/$E$63</f>
        <v>1.157545032</v>
      </c>
      <c r="F65" s="166">
        <f>F64/$F$63</f>
        <v>1.066811516</v>
      </c>
    </row>
    <row r="67">
      <c r="A67" s="121"/>
    </row>
    <row r="70" hidden="1">
      <c r="B70" s="167" t="s">
        <v>311</v>
      </c>
      <c r="C70" s="167"/>
      <c r="D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</row>
    <row r="71" hidden="1"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</row>
    <row r="72" hidden="1">
      <c r="B72" s="169" t="s">
        <v>280</v>
      </c>
      <c r="C72" s="170" t="s">
        <v>312</v>
      </c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</row>
    <row r="73" hidden="1">
      <c r="B73" s="168"/>
      <c r="C73" s="170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</row>
    <row r="74" hidden="1">
      <c r="A74" s="171"/>
      <c r="B74" s="167" t="s">
        <v>313</v>
      </c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</row>
    <row r="75" hidden="1"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</row>
    <row r="76" hidden="1">
      <c r="B76" s="172" t="s">
        <v>314</v>
      </c>
      <c r="C76" s="173" t="s">
        <v>315</v>
      </c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</row>
    <row r="77" hidden="1">
      <c r="B77" s="172" t="s">
        <v>316</v>
      </c>
      <c r="C77" s="173" t="s">
        <v>317</v>
      </c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</row>
    <row r="78" hidden="1">
      <c r="B78" s="172" t="s">
        <v>318</v>
      </c>
      <c r="C78" s="173" t="s">
        <v>319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</row>
    <row r="79" hidden="1">
      <c r="B79" s="168"/>
      <c r="C79" s="168"/>
      <c r="D79" s="168"/>
      <c r="E79" s="174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</row>
    <row r="80" hidden="1"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</row>
    <row r="81" hidden="1">
      <c r="B81" s="139" t="s">
        <v>320</v>
      </c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</row>
    <row r="82" hidden="1">
      <c r="B82" s="175" t="s">
        <v>321</v>
      </c>
      <c r="C82" s="176" t="str">
        <f t="array" ref="C82:C83">INDEX('Input Data'!D11:D13, A74)</f>
        <v>#REF!</v>
      </c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</row>
    <row r="83" hidden="1">
      <c r="B83" s="177" t="s">
        <v>322</v>
      </c>
      <c r="C83" s="178" t="str">
        <f t="array" ref="C83">INDEX('Input Data'!E11:E13, A74)-INDEX('Input Data'!I11:I13, A74)</f>
        <v>#VALUE!</v>
      </c>
      <c r="D83" s="179" t="s">
        <v>323</v>
      </c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</row>
    <row r="84" hidden="1">
      <c r="B84" s="180" t="s">
        <v>324</v>
      </c>
      <c r="C84" s="181" t="str">
        <f t="array" ref="C84:C85">INDEX('Input Data'!G11:G13, A74)</f>
        <v>#REF!</v>
      </c>
      <c r="D84" s="170" t="s">
        <v>155</v>
      </c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</row>
    <row r="85" hidden="1">
      <c r="B85" s="180" t="s">
        <v>325</v>
      </c>
      <c r="C85" s="182">
        <v>0.5</v>
      </c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</row>
    <row r="86" hidden="1">
      <c r="B86" s="180" t="s">
        <v>326</v>
      </c>
      <c r="C86" s="183" t="s">
        <v>327</v>
      </c>
      <c r="D86" s="168"/>
      <c r="E86" s="168"/>
      <c r="F86" s="184" t="s">
        <v>328</v>
      </c>
      <c r="G86" s="185" t="s">
        <v>329</v>
      </c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</row>
    <row r="87" hidden="1">
      <c r="B87" s="180" t="s">
        <v>330</v>
      </c>
      <c r="C87" s="186">
        <f>C86/12</f>
        <v>0.00445</v>
      </c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</row>
    <row r="88" hidden="1"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</row>
    <row r="89" hidden="1">
      <c r="B89" s="187" t="s">
        <v>331</v>
      </c>
      <c r="C89" s="188" t="str">
        <f t="array" ref="C89:C90">INDEX('Input Data'!E11:E13, A74)</f>
        <v>#REF!</v>
      </c>
      <c r="D89" s="189" t="s">
        <v>323</v>
      </c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</row>
    <row r="90" hidden="1">
      <c r="B90" s="187" t="s">
        <v>332</v>
      </c>
      <c r="C90" s="190" t="str">
        <f>rig_mor_la*(rig_mor_mo_ir*(1+rig_mor_mo_ir)^(C84*12))/((1+rig_mor_mo_ir)^(C84*12)-1)</f>
        <v>#NAME?</v>
      </c>
      <c r="D90" s="189" t="s">
        <v>323</v>
      </c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</row>
    <row r="91" hidden="1">
      <c r="B91" s="187" t="s">
        <v>333</v>
      </c>
      <c r="C91" s="191" t="str">
        <f>rig_mor_mo_pay*12</f>
        <v>#NAME?</v>
      </c>
      <c r="D91" s="189" t="s">
        <v>323</v>
      </c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</row>
    <row r="92" hidden="1">
      <c r="B92" s="168"/>
      <c r="C92" s="192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</row>
    <row r="93" hidden="1">
      <c r="B93" s="168"/>
      <c r="C93" s="192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</row>
    <row r="94" hidden="1">
      <c r="B94" s="187" t="s">
        <v>334</v>
      </c>
      <c r="C94" s="64"/>
      <c r="D94" s="173"/>
      <c r="E94" s="168"/>
      <c r="F94" s="184" t="s">
        <v>328</v>
      </c>
      <c r="G94" s="185" t="s">
        <v>335</v>
      </c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  <c r="AZ94" s="168"/>
    </row>
    <row r="95" hidden="1">
      <c r="B95" s="168"/>
      <c r="C95" s="192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</row>
    <row r="96" hidden="1">
      <c r="B96" s="139" t="s">
        <v>336</v>
      </c>
      <c r="C96" s="192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</row>
    <row r="97" hidden="1">
      <c r="B97" s="168"/>
      <c r="C97" s="168"/>
      <c r="D97" s="85" t="s">
        <v>337</v>
      </c>
      <c r="E97" s="193">
        <v>46143.0</v>
      </c>
      <c r="F97" s="193">
        <v>46508.0</v>
      </c>
      <c r="G97" s="193">
        <v>46874.0</v>
      </c>
      <c r="H97" s="193">
        <v>47239.0</v>
      </c>
      <c r="I97" s="193">
        <v>47604.0</v>
      </c>
      <c r="J97" s="193">
        <v>47969.0</v>
      </c>
      <c r="K97" s="193">
        <v>48335.0</v>
      </c>
      <c r="L97" s="193">
        <v>48700.0</v>
      </c>
      <c r="M97" s="193">
        <v>49065.0</v>
      </c>
      <c r="N97" s="193">
        <v>49430.0</v>
      </c>
      <c r="O97" s="193">
        <v>49796.0</v>
      </c>
      <c r="P97" s="193">
        <v>50161.0</v>
      </c>
      <c r="Q97" s="193">
        <v>50526.0</v>
      </c>
      <c r="R97" s="193">
        <v>50891.0</v>
      </c>
      <c r="S97" s="193">
        <v>51257.0</v>
      </c>
      <c r="T97" s="193">
        <v>51622.0</v>
      </c>
      <c r="U97" s="193">
        <v>51987.0</v>
      </c>
      <c r="V97" s="193">
        <v>52352.0</v>
      </c>
      <c r="W97" s="193">
        <v>52718.0</v>
      </c>
      <c r="X97" s="193">
        <v>53083.0</v>
      </c>
      <c r="Y97" s="193">
        <v>53448.0</v>
      </c>
      <c r="Z97" s="193">
        <v>53813.0</v>
      </c>
      <c r="AA97" s="193">
        <v>54179.0</v>
      </c>
      <c r="AB97" s="193">
        <v>54544.0</v>
      </c>
      <c r="AC97" s="193">
        <v>54909.0</v>
      </c>
      <c r="AD97" s="193">
        <v>55274.0</v>
      </c>
      <c r="AE97" s="193">
        <v>55640.0</v>
      </c>
      <c r="AF97" s="193">
        <v>56005.0</v>
      </c>
      <c r="AG97" s="193">
        <v>56370.0</v>
      </c>
      <c r="AH97" s="193">
        <v>56735.0</v>
      </c>
      <c r="AI97" s="193">
        <v>57101.0</v>
      </c>
      <c r="AJ97" s="193">
        <v>57466.0</v>
      </c>
      <c r="AK97" s="193">
        <v>57831.0</v>
      </c>
      <c r="AL97" s="193">
        <v>58196.0</v>
      </c>
      <c r="AM97" s="193">
        <v>58562.0</v>
      </c>
      <c r="AN97" s="193">
        <v>58927.0</v>
      </c>
      <c r="AO97" s="193">
        <v>59292.0</v>
      </c>
      <c r="AP97" s="193">
        <v>59657.0</v>
      </c>
      <c r="AQ97" s="193">
        <v>60023.0</v>
      </c>
      <c r="AR97" s="193">
        <v>60388.0</v>
      </c>
      <c r="AS97" s="193">
        <v>60753.0</v>
      </c>
      <c r="AT97" s="193">
        <v>61118.0</v>
      </c>
      <c r="AU97" s="193">
        <v>61484.0</v>
      </c>
      <c r="AV97" s="193">
        <v>61849.0</v>
      </c>
      <c r="AW97" s="193">
        <v>62214.0</v>
      </c>
      <c r="AX97" s="193">
        <v>62579.0</v>
      </c>
      <c r="AY97" s="193">
        <v>62945.0</v>
      </c>
      <c r="AZ97" s="193">
        <v>63310.0</v>
      </c>
    </row>
    <row r="98" hidden="1">
      <c r="B98" s="194" t="s">
        <v>338</v>
      </c>
      <c r="C98" s="168"/>
      <c r="D98" s="195"/>
      <c r="E98" s="196" t="str">
        <f>-rig_mor_la-rig_mor_ann_pay</f>
        <v>#NAME?</v>
      </c>
      <c r="F98" s="196" t="str">
        <f t="shared" ref="F98:AD98" si="20">-rig_mor_ann_pay</f>
        <v>#NAME?</v>
      </c>
      <c r="G98" s="196" t="str">
        <f t="shared" si="20"/>
        <v>#NAME?</v>
      </c>
      <c r="H98" s="196" t="str">
        <f t="shared" si="20"/>
        <v>#NAME?</v>
      </c>
      <c r="I98" s="196" t="str">
        <f t="shared" si="20"/>
        <v>#NAME?</v>
      </c>
      <c r="J98" s="196" t="str">
        <f t="shared" si="20"/>
        <v>#NAME?</v>
      </c>
      <c r="K98" s="196" t="str">
        <f t="shared" si="20"/>
        <v>#NAME?</v>
      </c>
      <c r="L98" s="196" t="str">
        <f t="shared" si="20"/>
        <v>#NAME?</v>
      </c>
      <c r="M98" s="196" t="str">
        <f t="shared" si="20"/>
        <v>#NAME?</v>
      </c>
      <c r="N98" s="196" t="str">
        <f t="shared" si="20"/>
        <v>#NAME?</v>
      </c>
      <c r="O98" s="196" t="str">
        <f t="shared" si="20"/>
        <v>#NAME?</v>
      </c>
      <c r="P98" s="196" t="str">
        <f t="shared" si="20"/>
        <v>#NAME?</v>
      </c>
      <c r="Q98" s="196" t="str">
        <f t="shared" si="20"/>
        <v>#NAME?</v>
      </c>
      <c r="R98" s="196" t="str">
        <f t="shared" si="20"/>
        <v>#NAME?</v>
      </c>
      <c r="S98" s="196" t="str">
        <f t="shared" si="20"/>
        <v>#NAME?</v>
      </c>
      <c r="T98" s="196" t="str">
        <f t="shared" si="20"/>
        <v>#NAME?</v>
      </c>
      <c r="U98" s="196" t="str">
        <f t="shared" si="20"/>
        <v>#NAME?</v>
      </c>
      <c r="V98" s="196" t="str">
        <f t="shared" si="20"/>
        <v>#NAME?</v>
      </c>
      <c r="W98" s="196" t="str">
        <f t="shared" si="20"/>
        <v>#NAME?</v>
      </c>
      <c r="X98" s="196" t="str">
        <f t="shared" si="20"/>
        <v>#NAME?</v>
      </c>
      <c r="Y98" s="196" t="str">
        <f t="shared" si="20"/>
        <v>#NAME?</v>
      </c>
      <c r="Z98" s="196" t="str">
        <f t="shared" si="20"/>
        <v>#NAME?</v>
      </c>
      <c r="AA98" s="196" t="str">
        <f t="shared" si="20"/>
        <v>#NAME?</v>
      </c>
      <c r="AB98" s="196" t="str">
        <f t="shared" si="20"/>
        <v>#NAME?</v>
      </c>
      <c r="AC98" s="196" t="str">
        <f t="shared" si="20"/>
        <v>#NAME?</v>
      </c>
      <c r="AD98" s="196" t="str">
        <f t="shared" si="20"/>
        <v>#NAME?</v>
      </c>
      <c r="AE98" s="168"/>
      <c r="AF98" s="168"/>
      <c r="AG98" s="168"/>
      <c r="AH98" s="168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</row>
    <row r="99" hidden="1">
      <c r="B99" s="197" t="s">
        <v>339</v>
      </c>
      <c r="C99" s="168"/>
      <c r="D99" s="198" t="str">
        <f t="shared" ref="D99:AL99" si="21">D98</f>
        <v/>
      </c>
      <c r="E99" s="199" t="str">
        <f t="shared" si="21"/>
        <v>#NAME?</v>
      </c>
      <c r="F99" s="199" t="str">
        <f t="shared" si="21"/>
        <v>#NAME?</v>
      </c>
      <c r="G99" s="199" t="str">
        <f t="shared" si="21"/>
        <v>#NAME?</v>
      </c>
      <c r="H99" s="199" t="str">
        <f t="shared" si="21"/>
        <v>#NAME?</v>
      </c>
      <c r="I99" s="199" t="str">
        <f t="shared" si="21"/>
        <v>#NAME?</v>
      </c>
      <c r="J99" s="199" t="str">
        <f t="shared" si="21"/>
        <v>#NAME?</v>
      </c>
      <c r="K99" s="199" t="str">
        <f t="shared" si="21"/>
        <v>#NAME?</v>
      </c>
      <c r="L99" s="199" t="str">
        <f t="shared" si="21"/>
        <v>#NAME?</v>
      </c>
      <c r="M99" s="199" t="str">
        <f t="shared" si="21"/>
        <v>#NAME?</v>
      </c>
      <c r="N99" s="199" t="str">
        <f t="shared" si="21"/>
        <v>#NAME?</v>
      </c>
      <c r="O99" s="199" t="str">
        <f t="shared" si="21"/>
        <v>#NAME?</v>
      </c>
      <c r="P99" s="199" t="str">
        <f t="shared" si="21"/>
        <v>#NAME?</v>
      </c>
      <c r="Q99" s="199" t="str">
        <f t="shared" si="21"/>
        <v>#NAME?</v>
      </c>
      <c r="R99" s="199" t="str">
        <f t="shared" si="21"/>
        <v>#NAME?</v>
      </c>
      <c r="S99" s="199" t="str">
        <f t="shared" si="21"/>
        <v>#NAME?</v>
      </c>
      <c r="T99" s="199" t="str">
        <f t="shared" si="21"/>
        <v>#NAME?</v>
      </c>
      <c r="U99" s="199" t="str">
        <f t="shared" si="21"/>
        <v>#NAME?</v>
      </c>
      <c r="V99" s="199" t="str">
        <f t="shared" si="21"/>
        <v>#NAME?</v>
      </c>
      <c r="W99" s="199" t="str">
        <f t="shared" si="21"/>
        <v>#NAME?</v>
      </c>
      <c r="X99" s="199" t="str">
        <f t="shared" si="21"/>
        <v>#NAME?</v>
      </c>
      <c r="Y99" s="199" t="str">
        <f t="shared" si="21"/>
        <v>#NAME?</v>
      </c>
      <c r="Z99" s="199" t="str">
        <f t="shared" si="21"/>
        <v>#NAME?</v>
      </c>
      <c r="AA99" s="199" t="str">
        <f t="shared" si="21"/>
        <v>#NAME?</v>
      </c>
      <c r="AB99" s="199" t="str">
        <f t="shared" si="21"/>
        <v>#NAME?</v>
      </c>
      <c r="AC99" s="199" t="str">
        <f t="shared" si="21"/>
        <v>#NAME?</v>
      </c>
      <c r="AD99" s="200" t="str">
        <f t="shared" si="21"/>
        <v>#NAME?</v>
      </c>
      <c r="AE99" s="198" t="str">
        <f t="shared" si="21"/>
        <v/>
      </c>
      <c r="AF99" s="198" t="str">
        <f t="shared" si="21"/>
        <v/>
      </c>
      <c r="AG99" s="198" t="str">
        <f t="shared" si="21"/>
        <v/>
      </c>
      <c r="AH99" s="198" t="str">
        <f t="shared" si="21"/>
        <v/>
      </c>
      <c r="AI99" s="198" t="str">
        <f t="shared" si="21"/>
        <v/>
      </c>
      <c r="AJ99" s="198" t="str">
        <f t="shared" si="21"/>
        <v/>
      </c>
      <c r="AK99" s="198" t="str">
        <f t="shared" si="21"/>
        <v/>
      </c>
      <c r="AL99" s="198" t="str">
        <f t="shared" si="21"/>
        <v/>
      </c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198"/>
      <c r="AY99" s="198"/>
      <c r="AZ99" s="198" t="str">
        <f>AZ98</f>
        <v/>
      </c>
    </row>
    <row r="100" hidden="1"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  <c r="AT100" s="168"/>
      <c r="AU100" s="168"/>
      <c r="AV100" s="168"/>
      <c r="AW100" s="168"/>
      <c r="AX100" s="168"/>
      <c r="AY100" s="168"/>
      <c r="AZ100" s="168"/>
    </row>
    <row r="101" hidden="1"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  <c r="AZ101" s="168"/>
    </row>
    <row r="102" hidden="1">
      <c r="B102" s="126" t="s">
        <v>340</v>
      </c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  <c r="AZ102" s="168"/>
    </row>
    <row r="103" hidden="1">
      <c r="B103" s="168"/>
      <c r="C103" s="168"/>
      <c r="D103" s="85" t="s">
        <v>337</v>
      </c>
      <c r="E103" s="201">
        <v>46143.0</v>
      </c>
      <c r="F103" s="201">
        <v>46508.0</v>
      </c>
      <c r="G103" s="201">
        <v>46874.0</v>
      </c>
      <c r="H103" s="201">
        <v>47239.0</v>
      </c>
      <c r="I103" s="201">
        <v>47604.0</v>
      </c>
      <c r="J103" s="201">
        <v>47969.0</v>
      </c>
      <c r="K103" s="201">
        <v>48335.0</v>
      </c>
      <c r="L103" s="201">
        <v>48700.0</v>
      </c>
      <c r="M103" s="201">
        <v>49065.0</v>
      </c>
      <c r="N103" s="201">
        <v>49430.0</v>
      </c>
      <c r="O103" s="201">
        <v>49796.0</v>
      </c>
      <c r="P103" s="201">
        <v>50161.0</v>
      </c>
      <c r="Q103" s="201">
        <v>50526.0</v>
      </c>
      <c r="R103" s="201">
        <v>50891.0</v>
      </c>
      <c r="S103" s="201">
        <v>51257.0</v>
      </c>
      <c r="T103" s="201">
        <v>51622.0</v>
      </c>
      <c r="U103" s="201">
        <v>51987.0</v>
      </c>
      <c r="V103" s="201">
        <v>52352.0</v>
      </c>
      <c r="W103" s="201">
        <v>52718.0</v>
      </c>
      <c r="X103" s="201">
        <v>53083.0</v>
      </c>
      <c r="Y103" s="201">
        <v>53448.0</v>
      </c>
      <c r="Z103" s="201">
        <v>53813.0</v>
      </c>
      <c r="AA103" s="201">
        <v>54179.0</v>
      </c>
      <c r="AB103" s="201">
        <v>54544.0</v>
      </c>
      <c r="AC103" s="201">
        <v>54909.0</v>
      </c>
      <c r="AD103" s="201">
        <v>55274.0</v>
      </c>
      <c r="AE103" s="201">
        <v>55640.0</v>
      </c>
      <c r="AF103" s="201">
        <v>56005.0</v>
      </c>
      <c r="AG103" s="201">
        <v>56370.0</v>
      </c>
      <c r="AH103" s="201">
        <v>56735.0</v>
      </c>
      <c r="AI103" s="201">
        <v>57101.0</v>
      </c>
      <c r="AJ103" s="201">
        <v>57466.0</v>
      </c>
      <c r="AK103" s="201">
        <v>57831.0</v>
      </c>
      <c r="AL103" s="201">
        <v>58196.0</v>
      </c>
      <c r="AM103" s="193">
        <v>58562.0</v>
      </c>
      <c r="AN103" s="193">
        <v>58927.0</v>
      </c>
      <c r="AO103" s="193">
        <v>59292.0</v>
      </c>
      <c r="AP103" s="193">
        <v>59657.0</v>
      </c>
      <c r="AQ103" s="193">
        <v>60023.0</v>
      </c>
      <c r="AR103" s="193">
        <v>60388.0</v>
      </c>
      <c r="AS103" s="193">
        <v>60753.0</v>
      </c>
      <c r="AT103" s="193">
        <v>61118.0</v>
      </c>
      <c r="AU103" s="193">
        <v>61484.0</v>
      </c>
      <c r="AV103" s="193">
        <v>61849.0</v>
      </c>
      <c r="AW103" s="193">
        <v>62214.0</v>
      </c>
      <c r="AX103" s="193">
        <v>62579.0</v>
      </c>
      <c r="AY103" s="193">
        <v>62945.0</v>
      </c>
      <c r="AZ103" s="193">
        <v>63310.0</v>
      </c>
    </row>
    <row r="104" hidden="1">
      <c r="B104" s="197" t="s">
        <v>341</v>
      </c>
      <c r="C104" s="168"/>
      <c r="D104" s="202"/>
      <c r="E104" s="203" t="str">
        <f>-E105</f>
        <v>#VALUE!</v>
      </c>
      <c r="F104" s="203" t="str">
        <f t="shared" ref="F104:AD104" si="22">-fv($C86,(year(F103)-year($E103)),$C91,$E104)</f>
        <v>#NAME?</v>
      </c>
      <c r="G104" s="203" t="str">
        <f t="shared" si="22"/>
        <v>#NAME?</v>
      </c>
      <c r="H104" s="203" t="str">
        <f t="shared" si="22"/>
        <v>#NAME?</v>
      </c>
      <c r="I104" s="203" t="str">
        <f t="shared" si="22"/>
        <v>#NAME?</v>
      </c>
      <c r="J104" s="203" t="str">
        <f t="shared" si="22"/>
        <v>#NAME?</v>
      </c>
      <c r="K104" s="203" t="str">
        <f t="shared" si="22"/>
        <v>#NAME?</v>
      </c>
      <c r="L104" s="203" t="str">
        <f t="shared" si="22"/>
        <v>#NAME?</v>
      </c>
      <c r="M104" s="203" t="str">
        <f t="shared" si="22"/>
        <v>#NAME?</v>
      </c>
      <c r="N104" s="203" t="str">
        <f t="shared" si="22"/>
        <v>#NAME?</v>
      </c>
      <c r="O104" s="203" t="str">
        <f t="shared" si="22"/>
        <v>#NAME?</v>
      </c>
      <c r="P104" s="203" t="str">
        <f t="shared" si="22"/>
        <v>#NAME?</v>
      </c>
      <c r="Q104" s="203" t="str">
        <f t="shared" si="22"/>
        <v>#NAME?</v>
      </c>
      <c r="R104" s="203" t="str">
        <f t="shared" si="22"/>
        <v>#NAME?</v>
      </c>
      <c r="S104" s="203" t="str">
        <f t="shared" si="22"/>
        <v>#NAME?</v>
      </c>
      <c r="T104" s="203" t="str">
        <f t="shared" si="22"/>
        <v>#NAME?</v>
      </c>
      <c r="U104" s="203" t="str">
        <f t="shared" si="22"/>
        <v>#NAME?</v>
      </c>
      <c r="V104" s="203" t="str">
        <f t="shared" si="22"/>
        <v>#NAME?</v>
      </c>
      <c r="W104" s="203" t="str">
        <f t="shared" si="22"/>
        <v>#NAME?</v>
      </c>
      <c r="X104" s="203" t="str">
        <f t="shared" si="22"/>
        <v>#NAME?</v>
      </c>
      <c r="Y104" s="203" t="str">
        <f t="shared" si="22"/>
        <v>#NAME?</v>
      </c>
      <c r="Z104" s="203" t="str">
        <f t="shared" si="22"/>
        <v>#NAME?</v>
      </c>
      <c r="AA104" s="203" t="str">
        <f t="shared" si="22"/>
        <v>#NAME?</v>
      </c>
      <c r="AB104" s="203" t="str">
        <f t="shared" si="22"/>
        <v>#NAME?</v>
      </c>
      <c r="AC104" s="203" t="str">
        <f t="shared" si="22"/>
        <v>#NAME?</v>
      </c>
      <c r="AD104" s="203" t="str">
        <f t="shared" si="22"/>
        <v>#NAME?</v>
      </c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</row>
    <row r="105" hidden="1">
      <c r="B105" s="197" t="s">
        <v>342</v>
      </c>
      <c r="C105" s="168"/>
      <c r="D105" s="205"/>
      <c r="E105" s="203" t="str">
        <f>C83</f>
        <v>#VALUE!</v>
      </c>
      <c r="F105" s="203" t="str">
        <f t="shared" ref="F105:AZ105" si="23">E105*(1+rig_apt_ann_gro)</f>
        <v>#VALUE!</v>
      </c>
      <c r="G105" s="203" t="str">
        <f t="shared" si="23"/>
        <v>#VALUE!</v>
      </c>
      <c r="H105" s="203" t="str">
        <f t="shared" si="23"/>
        <v>#VALUE!</v>
      </c>
      <c r="I105" s="203" t="str">
        <f t="shared" si="23"/>
        <v>#VALUE!</v>
      </c>
      <c r="J105" s="203" t="str">
        <f t="shared" si="23"/>
        <v>#VALUE!</v>
      </c>
      <c r="K105" s="203" t="str">
        <f t="shared" si="23"/>
        <v>#VALUE!</v>
      </c>
      <c r="L105" s="203" t="str">
        <f t="shared" si="23"/>
        <v>#VALUE!</v>
      </c>
      <c r="M105" s="203" t="str">
        <f t="shared" si="23"/>
        <v>#VALUE!</v>
      </c>
      <c r="N105" s="203" t="str">
        <f t="shared" si="23"/>
        <v>#VALUE!</v>
      </c>
      <c r="O105" s="203" t="str">
        <f t="shared" si="23"/>
        <v>#VALUE!</v>
      </c>
      <c r="P105" s="203" t="str">
        <f t="shared" si="23"/>
        <v>#VALUE!</v>
      </c>
      <c r="Q105" s="203" t="str">
        <f t="shared" si="23"/>
        <v>#VALUE!</v>
      </c>
      <c r="R105" s="203" t="str">
        <f t="shared" si="23"/>
        <v>#VALUE!</v>
      </c>
      <c r="S105" s="203" t="str">
        <f t="shared" si="23"/>
        <v>#VALUE!</v>
      </c>
      <c r="T105" s="203" t="str">
        <f t="shared" si="23"/>
        <v>#VALUE!</v>
      </c>
      <c r="U105" s="203" t="str">
        <f t="shared" si="23"/>
        <v>#VALUE!</v>
      </c>
      <c r="V105" s="203" t="str">
        <f t="shared" si="23"/>
        <v>#VALUE!</v>
      </c>
      <c r="W105" s="203" t="str">
        <f t="shared" si="23"/>
        <v>#VALUE!</v>
      </c>
      <c r="X105" s="203" t="str">
        <f t="shared" si="23"/>
        <v>#VALUE!</v>
      </c>
      <c r="Y105" s="203" t="str">
        <f t="shared" si="23"/>
        <v>#VALUE!</v>
      </c>
      <c r="Z105" s="203" t="str">
        <f t="shared" si="23"/>
        <v>#VALUE!</v>
      </c>
      <c r="AA105" s="203" t="str">
        <f t="shared" si="23"/>
        <v>#VALUE!</v>
      </c>
      <c r="AB105" s="203" t="str">
        <f t="shared" si="23"/>
        <v>#VALUE!</v>
      </c>
      <c r="AC105" s="203" t="str">
        <f t="shared" si="23"/>
        <v>#VALUE!</v>
      </c>
      <c r="AD105" s="203" t="str">
        <f t="shared" si="23"/>
        <v>#VALUE!</v>
      </c>
      <c r="AE105" s="203" t="str">
        <f t="shared" si="23"/>
        <v>#VALUE!</v>
      </c>
      <c r="AF105" s="203" t="str">
        <f t="shared" si="23"/>
        <v>#VALUE!</v>
      </c>
      <c r="AG105" s="203" t="str">
        <f t="shared" si="23"/>
        <v>#VALUE!</v>
      </c>
      <c r="AH105" s="203" t="str">
        <f t="shared" si="23"/>
        <v>#VALUE!</v>
      </c>
      <c r="AI105" s="203" t="str">
        <f t="shared" si="23"/>
        <v>#VALUE!</v>
      </c>
      <c r="AJ105" s="203" t="str">
        <f t="shared" si="23"/>
        <v>#VALUE!</v>
      </c>
      <c r="AK105" s="203" t="str">
        <f t="shared" si="23"/>
        <v>#VALUE!</v>
      </c>
      <c r="AL105" s="203" t="str">
        <f t="shared" si="23"/>
        <v>#VALUE!</v>
      </c>
      <c r="AM105" s="203" t="str">
        <f t="shared" si="23"/>
        <v>#VALUE!</v>
      </c>
      <c r="AN105" s="203" t="str">
        <f t="shared" si="23"/>
        <v>#VALUE!</v>
      </c>
      <c r="AO105" s="203" t="str">
        <f t="shared" si="23"/>
        <v>#VALUE!</v>
      </c>
      <c r="AP105" s="203" t="str">
        <f t="shared" si="23"/>
        <v>#VALUE!</v>
      </c>
      <c r="AQ105" s="203" t="str">
        <f t="shared" si="23"/>
        <v>#VALUE!</v>
      </c>
      <c r="AR105" s="203" t="str">
        <f t="shared" si="23"/>
        <v>#VALUE!</v>
      </c>
      <c r="AS105" s="203" t="str">
        <f t="shared" si="23"/>
        <v>#VALUE!</v>
      </c>
      <c r="AT105" s="203" t="str">
        <f t="shared" si="23"/>
        <v>#VALUE!</v>
      </c>
      <c r="AU105" s="203" t="str">
        <f t="shared" si="23"/>
        <v>#VALUE!</v>
      </c>
      <c r="AV105" s="203" t="str">
        <f t="shared" si="23"/>
        <v>#VALUE!</v>
      </c>
      <c r="AW105" s="203" t="str">
        <f t="shared" si="23"/>
        <v>#VALUE!</v>
      </c>
      <c r="AX105" s="203" t="str">
        <f t="shared" si="23"/>
        <v>#VALUE!</v>
      </c>
      <c r="AY105" s="203" t="str">
        <f t="shared" si="23"/>
        <v>#VALUE!</v>
      </c>
      <c r="AZ105" s="203" t="str">
        <f t="shared" si="23"/>
        <v>#VALUE!</v>
      </c>
    </row>
    <row r="106" hidden="1">
      <c r="B106" s="194" t="s">
        <v>343</v>
      </c>
      <c r="C106" s="168"/>
      <c r="D106" s="206"/>
      <c r="E106" s="207" t="str">
        <f t="shared" ref="E106:AZ106" si="24">sum(E104:E105)</f>
        <v>#VALUE!</v>
      </c>
      <c r="F106" s="207" t="str">
        <f t="shared" si="24"/>
        <v>#NAME?</v>
      </c>
      <c r="G106" s="207" t="str">
        <f t="shared" si="24"/>
        <v>#NAME?</v>
      </c>
      <c r="H106" s="207" t="str">
        <f t="shared" si="24"/>
        <v>#NAME?</v>
      </c>
      <c r="I106" s="207" t="str">
        <f t="shared" si="24"/>
        <v>#NAME?</v>
      </c>
      <c r="J106" s="207" t="str">
        <f t="shared" si="24"/>
        <v>#NAME?</v>
      </c>
      <c r="K106" s="207" t="str">
        <f t="shared" si="24"/>
        <v>#NAME?</v>
      </c>
      <c r="L106" s="207" t="str">
        <f t="shared" si="24"/>
        <v>#NAME?</v>
      </c>
      <c r="M106" s="207" t="str">
        <f t="shared" si="24"/>
        <v>#NAME?</v>
      </c>
      <c r="N106" s="207" t="str">
        <f t="shared" si="24"/>
        <v>#NAME?</v>
      </c>
      <c r="O106" s="207" t="str">
        <f t="shared" si="24"/>
        <v>#NAME?</v>
      </c>
      <c r="P106" s="207" t="str">
        <f t="shared" si="24"/>
        <v>#NAME?</v>
      </c>
      <c r="Q106" s="207" t="str">
        <f t="shared" si="24"/>
        <v>#NAME?</v>
      </c>
      <c r="R106" s="207" t="str">
        <f t="shared" si="24"/>
        <v>#NAME?</v>
      </c>
      <c r="S106" s="207" t="str">
        <f t="shared" si="24"/>
        <v>#NAME?</v>
      </c>
      <c r="T106" s="207" t="str">
        <f t="shared" si="24"/>
        <v>#NAME?</v>
      </c>
      <c r="U106" s="207" t="str">
        <f t="shared" si="24"/>
        <v>#NAME?</v>
      </c>
      <c r="V106" s="207" t="str">
        <f t="shared" si="24"/>
        <v>#NAME?</v>
      </c>
      <c r="W106" s="207" t="str">
        <f t="shared" si="24"/>
        <v>#NAME?</v>
      </c>
      <c r="X106" s="207" t="str">
        <f t="shared" si="24"/>
        <v>#NAME?</v>
      </c>
      <c r="Y106" s="207" t="str">
        <f t="shared" si="24"/>
        <v>#NAME?</v>
      </c>
      <c r="Z106" s="207" t="str">
        <f t="shared" si="24"/>
        <v>#NAME?</v>
      </c>
      <c r="AA106" s="207" t="str">
        <f t="shared" si="24"/>
        <v>#NAME?</v>
      </c>
      <c r="AB106" s="207" t="str">
        <f t="shared" si="24"/>
        <v>#NAME?</v>
      </c>
      <c r="AC106" s="207" t="str">
        <f t="shared" si="24"/>
        <v>#NAME?</v>
      </c>
      <c r="AD106" s="207" t="str">
        <f t="shared" si="24"/>
        <v>#NAME?</v>
      </c>
      <c r="AE106" s="207" t="str">
        <f t="shared" si="24"/>
        <v>#VALUE!</v>
      </c>
      <c r="AF106" s="207" t="str">
        <f t="shared" si="24"/>
        <v>#VALUE!</v>
      </c>
      <c r="AG106" s="207" t="str">
        <f t="shared" si="24"/>
        <v>#VALUE!</v>
      </c>
      <c r="AH106" s="207" t="str">
        <f t="shared" si="24"/>
        <v>#VALUE!</v>
      </c>
      <c r="AI106" s="207" t="str">
        <f t="shared" si="24"/>
        <v>#VALUE!</v>
      </c>
      <c r="AJ106" s="207" t="str">
        <f t="shared" si="24"/>
        <v>#VALUE!</v>
      </c>
      <c r="AK106" s="207" t="str">
        <f t="shared" si="24"/>
        <v>#VALUE!</v>
      </c>
      <c r="AL106" s="207" t="str">
        <f t="shared" si="24"/>
        <v>#VALUE!</v>
      </c>
      <c r="AM106" s="207" t="str">
        <f t="shared" si="24"/>
        <v>#VALUE!</v>
      </c>
      <c r="AN106" s="207" t="str">
        <f t="shared" si="24"/>
        <v>#VALUE!</v>
      </c>
      <c r="AO106" s="207" t="str">
        <f t="shared" si="24"/>
        <v>#VALUE!</v>
      </c>
      <c r="AP106" s="207" t="str">
        <f t="shared" si="24"/>
        <v>#VALUE!</v>
      </c>
      <c r="AQ106" s="207" t="str">
        <f t="shared" si="24"/>
        <v>#VALUE!</v>
      </c>
      <c r="AR106" s="207" t="str">
        <f t="shared" si="24"/>
        <v>#VALUE!</v>
      </c>
      <c r="AS106" s="207" t="str">
        <f t="shared" si="24"/>
        <v>#VALUE!</v>
      </c>
      <c r="AT106" s="207" t="str">
        <f t="shared" si="24"/>
        <v>#VALUE!</v>
      </c>
      <c r="AU106" s="207" t="str">
        <f t="shared" si="24"/>
        <v>#VALUE!</v>
      </c>
      <c r="AV106" s="207" t="str">
        <f t="shared" si="24"/>
        <v>#VALUE!</v>
      </c>
      <c r="AW106" s="207" t="str">
        <f t="shared" si="24"/>
        <v>#VALUE!</v>
      </c>
      <c r="AX106" s="207" t="str">
        <f t="shared" si="24"/>
        <v>#VALUE!</v>
      </c>
      <c r="AY106" s="207" t="str">
        <f t="shared" si="24"/>
        <v>#VALUE!</v>
      </c>
      <c r="AZ106" s="207" t="str">
        <f t="shared" si="24"/>
        <v>#VALUE!</v>
      </c>
    </row>
    <row r="107" hidden="1">
      <c r="B107" s="208"/>
      <c r="C107" s="168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  <c r="AE107" s="209"/>
      <c r="AF107" s="209"/>
      <c r="AG107" s="209"/>
      <c r="AH107" s="209"/>
      <c r="AI107" s="209"/>
      <c r="AJ107" s="209"/>
      <c r="AK107" s="209"/>
      <c r="AL107" s="209"/>
      <c r="AM107" s="209"/>
      <c r="AN107" s="209"/>
      <c r="AO107" s="209"/>
      <c r="AP107" s="209"/>
      <c r="AQ107" s="209"/>
      <c r="AR107" s="209"/>
      <c r="AS107" s="209"/>
      <c r="AT107" s="209"/>
      <c r="AU107" s="209"/>
      <c r="AV107" s="209"/>
      <c r="AW107" s="209"/>
      <c r="AX107" s="209"/>
      <c r="AY107" s="209"/>
      <c r="AZ107" s="209"/>
    </row>
    <row r="108" hidden="1">
      <c r="B108" s="168"/>
      <c r="C108" s="168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  <c r="AE108" s="209"/>
      <c r="AF108" s="209"/>
      <c r="AG108" s="209"/>
      <c r="AH108" s="209"/>
      <c r="AI108" s="209"/>
      <c r="AJ108" s="209"/>
      <c r="AK108" s="209"/>
      <c r="AL108" s="209"/>
      <c r="AM108" s="209"/>
      <c r="AN108" s="209"/>
      <c r="AO108" s="209"/>
      <c r="AP108" s="209"/>
      <c r="AQ108" s="209"/>
      <c r="AR108" s="209"/>
      <c r="AS108" s="209"/>
      <c r="AT108" s="209"/>
      <c r="AU108" s="209"/>
      <c r="AV108" s="209"/>
      <c r="AW108" s="209"/>
      <c r="AX108" s="209"/>
      <c r="AY108" s="209"/>
      <c r="AZ108" s="209"/>
    </row>
    <row r="109" hidden="1">
      <c r="B109" s="139" t="s">
        <v>309</v>
      </c>
      <c r="C109" s="168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  <c r="AE109" s="209"/>
      <c r="AF109" s="209"/>
      <c r="AG109" s="209"/>
      <c r="AH109" s="209"/>
      <c r="AI109" s="209"/>
      <c r="AJ109" s="209"/>
      <c r="AK109" s="209"/>
      <c r="AL109" s="209"/>
      <c r="AM109" s="209"/>
      <c r="AN109" s="209"/>
      <c r="AO109" s="209"/>
      <c r="AP109" s="209"/>
      <c r="AQ109" s="209"/>
      <c r="AR109" s="209"/>
      <c r="AS109" s="209"/>
      <c r="AT109" s="209"/>
      <c r="AU109" s="209"/>
      <c r="AV109" s="209"/>
      <c r="AW109" s="209"/>
      <c r="AX109" s="209"/>
      <c r="AY109" s="209"/>
      <c r="AZ109" s="209"/>
    </row>
    <row r="110" hidden="1">
      <c r="B110" s="168"/>
      <c r="C110" s="168"/>
      <c r="D110" s="210" t="s">
        <v>344</v>
      </c>
      <c r="E110" s="211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168"/>
      <c r="AY110" s="168"/>
      <c r="AZ110" s="168"/>
    </row>
    <row r="111" hidden="1">
      <c r="B111" s="168"/>
      <c r="C111" s="212"/>
      <c r="D111" s="213" t="s">
        <v>345</v>
      </c>
      <c r="E111" s="214" t="s">
        <v>251</v>
      </c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168"/>
      <c r="AY111" s="168"/>
      <c r="AZ111" s="168"/>
    </row>
    <row r="112" hidden="1">
      <c r="B112" s="175" t="s">
        <v>346</v>
      </c>
      <c r="C112" s="215"/>
      <c r="D112" s="216" t="str">
        <f>E106</f>
        <v>#VALUE!</v>
      </c>
      <c r="E112" s="217" t="str">
        <f>D112/$C$39</f>
        <v>#VALUE!</v>
      </c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</row>
    <row r="113" hidden="1">
      <c r="B113" s="180" t="s">
        <v>347</v>
      </c>
      <c r="C113" s="218"/>
      <c r="D113" s="219" t="str">
        <f>I106</f>
        <v>#NAME?</v>
      </c>
      <c r="E113" s="220" t="str">
        <f>D113/$C$46</f>
        <v>#NAME?</v>
      </c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</row>
    <row r="114" hidden="1">
      <c r="B114" s="180" t="s">
        <v>348</v>
      </c>
      <c r="C114" s="218"/>
      <c r="D114" s="219" t="str">
        <f>N106</f>
        <v>#NAME?</v>
      </c>
      <c r="E114" s="220" t="str">
        <f>D114/$C$47</f>
        <v>#NAME?</v>
      </c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  <c r="AT114" s="168"/>
      <c r="AU114" s="168"/>
      <c r="AV114" s="168"/>
      <c r="AW114" s="168"/>
      <c r="AX114" s="168"/>
      <c r="AY114" s="168"/>
      <c r="AZ114" s="168"/>
    </row>
    <row r="115" hidden="1">
      <c r="B115" s="221" t="s">
        <v>349</v>
      </c>
      <c r="C115" s="222"/>
      <c r="D115" s="219" t="str">
        <f>X106</f>
        <v>#NAME?</v>
      </c>
      <c r="E115" s="220" t="str">
        <f>D115/$H$62</f>
        <v>#NAME?</v>
      </c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  <c r="AZ115" s="168"/>
    </row>
    <row r="116" hidden="1"/>
    <row r="117" hidden="1"/>
    <row r="119">
      <c r="A119" s="223">
        <v>1.0</v>
      </c>
      <c r="B119" s="167" t="s">
        <v>350</v>
      </c>
      <c r="C119" s="167"/>
      <c r="D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</row>
    <row r="120"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  <c r="AZ120" s="168"/>
    </row>
    <row r="121">
      <c r="B121" s="169" t="s">
        <v>280</v>
      </c>
      <c r="C121" s="224" t="s">
        <v>351</v>
      </c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  <c r="AZ121" s="168"/>
    </row>
    <row r="122">
      <c r="B122" s="168"/>
      <c r="C122" s="224" t="s">
        <v>352</v>
      </c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  <c r="AZ122" s="168"/>
    </row>
    <row r="123"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</row>
    <row r="124">
      <c r="B124" s="172" t="s">
        <v>314</v>
      </c>
      <c r="C124" s="173" t="s">
        <v>315</v>
      </c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  <c r="AZ124" s="168"/>
    </row>
    <row r="125">
      <c r="B125" s="172" t="s">
        <v>316</v>
      </c>
      <c r="C125" s="225" t="s">
        <v>319</v>
      </c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  <c r="AZ125" s="168"/>
    </row>
    <row r="126">
      <c r="B126" s="172" t="s">
        <v>318</v>
      </c>
      <c r="C126" s="225" t="s">
        <v>317</v>
      </c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168"/>
      <c r="AY126" s="168"/>
      <c r="AZ126" s="168"/>
    </row>
    <row r="127">
      <c r="B127" s="172" t="s">
        <v>353</v>
      </c>
      <c r="C127" s="225" t="s">
        <v>317</v>
      </c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168"/>
    </row>
    <row r="128"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</row>
    <row r="129">
      <c r="C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  <c r="AT129" s="168"/>
      <c r="AU129" s="168"/>
      <c r="AV129" s="168"/>
    </row>
    <row r="130">
      <c r="B130" s="226" t="s">
        <v>354</v>
      </c>
      <c r="C130" s="227">
        <v>200000.0</v>
      </c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</row>
    <row r="131">
      <c r="B131" s="228" t="s">
        <v>355</v>
      </c>
      <c r="C131" s="229">
        <v>400000.0</v>
      </c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</row>
    <row r="132">
      <c r="B132" s="228" t="s">
        <v>356</v>
      </c>
      <c r="C132" s="230" t="s">
        <v>357</v>
      </c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</row>
    <row r="133">
      <c r="B133" s="228" t="s">
        <v>358</v>
      </c>
      <c r="C133" s="231">
        <f>'Input Data'!F49</f>
        <v>0.0424</v>
      </c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</row>
    <row r="134">
      <c r="B134" s="228" t="s">
        <v>359</v>
      </c>
      <c r="C134" s="232">
        <f>C133/12</f>
        <v>0.003533333333</v>
      </c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</row>
    <row r="135">
      <c r="B135" s="228" t="s">
        <v>360</v>
      </c>
      <c r="C135" s="233">
        <f>12*C136</f>
        <v>25976.55963</v>
      </c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</row>
    <row r="136">
      <c r="B136" s="228" t="s">
        <v>361</v>
      </c>
      <c r="C136" s="234">
        <f>PMT(C134,12*C132,-C131,0,)</f>
        <v>2164.713303</v>
      </c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</row>
    <row r="137"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</row>
    <row r="138"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</row>
    <row r="139">
      <c r="B139" s="168"/>
      <c r="C139" s="192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168"/>
      <c r="AY139" s="168"/>
      <c r="AZ139" s="168"/>
    </row>
    <row r="140">
      <c r="B140" s="139" t="s">
        <v>336</v>
      </c>
      <c r="C140" s="192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168"/>
      <c r="AY140" s="168"/>
      <c r="AZ140" s="168"/>
    </row>
    <row r="141">
      <c r="B141" s="139"/>
      <c r="C141" s="192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  <c r="AZ141" s="168"/>
    </row>
    <row r="142">
      <c r="B142" s="168"/>
      <c r="C142" s="174" t="s">
        <v>362</v>
      </c>
      <c r="D142" s="85" t="s">
        <v>285</v>
      </c>
      <c r="E142" s="193">
        <v>46143.0</v>
      </c>
      <c r="F142" s="193">
        <v>46508.0</v>
      </c>
      <c r="G142" s="193">
        <v>46874.0</v>
      </c>
      <c r="H142" s="193">
        <v>47239.0</v>
      </c>
      <c r="I142" s="193">
        <v>47604.0</v>
      </c>
      <c r="J142" s="193">
        <v>47969.0</v>
      </c>
      <c r="K142" s="193">
        <v>48335.0</v>
      </c>
      <c r="L142" s="193">
        <v>48700.0</v>
      </c>
      <c r="M142" s="193">
        <v>49065.0</v>
      </c>
      <c r="N142" s="193">
        <v>49430.0</v>
      </c>
      <c r="O142" s="193">
        <v>49796.0</v>
      </c>
      <c r="P142" s="193">
        <v>50161.0</v>
      </c>
      <c r="Q142" s="193">
        <v>50526.0</v>
      </c>
      <c r="R142" s="193">
        <v>50891.0</v>
      </c>
      <c r="S142" s="193">
        <v>51257.0</v>
      </c>
      <c r="T142" s="193">
        <v>51622.0</v>
      </c>
      <c r="U142" s="193">
        <v>51987.0</v>
      </c>
      <c r="V142" s="193">
        <v>52352.0</v>
      </c>
      <c r="W142" s="193">
        <v>52718.0</v>
      </c>
      <c r="X142" s="193">
        <v>53083.0</v>
      </c>
      <c r="Y142" s="193">
        <v>53448.0</v>
      </c>
      <c r="Z142" s="193">
        <v>53813.0</v>
      </c>
      <c r="AA142" s="193">
        <v>54179.0</v>
      </c>
      <c r="AB142" s="193">
        <v>54544.0</v>
      </c>
      <c r="AC142" s="193">
        <v>54909.0</v>
      </c>
      <c r="AD142" s="193">
        <v>55274.0</v>
      </c>
      <c r="AE142" s="193">
        <v>55640.0</v>
      </c>
      <c r="AF142" s="193">
        <v>56005.0</v>
      </c>
      <c r="AG142" s="193">
        <v>56370.0</v>
      </c>
      <c r="AH142" s="193">
        <v>56735.0</v>
      </c>
      <c r="AI142" s="193">
        <v>57101.0</v>
      </c>
      <c r="AJ142" s="193">
        <v>57466.0</v>
      </c>
      <c r="AK142" s="193">
        <v>57831.0</v>
      </c>
      <c r="AL142" s="193">
        <v>58196.0</v>
      </c>
      <c r="AM142" s="193">
        <v>58562.0</v>
      </c>
      <c r="AN142" s="193">
        <v>58927.0</v>
      </c>
      <c r="AO142" s="193">
        <v>59292.0</v>
      </c>
      <c r="AP142" s="193">
        <v>59657.0</v>
      </c>
      <c r="AQ142" s="193">
        <v>60023.0</v>
      </c>
      <c r="AR142" s="193">
        <v>60388.0</v>
      </c>
      <c r="AS142" s="193">
        <v>60753.0</v>
      </c>
      <c r="AT142" s="193">
        <v>61118.0</v>
      </c>
      <c r="AU142" s="193">
        <v>61484.0</v>
      </c>
      <c r="AV142" s="193">
        <v>61849.0</v>
      </c>
      <c r="AW142" s="193">
        <v>62214.0</v>
      </c>
      <c r="AX142" s="193">
        <v>62579.0</v>
      </c>
      <c r="AY142" s="193">
        <v>62945.0</v>
      </c>
      <c r="AZ142" s="193">
        <v>63310.0</v>
      </c>
    </row>
    <row r="143">
      <c r="B143" s="235" t="s">
        <v>363</v>
      </c>
      <c r="C143" s="145">
        <f>'Input Data'!F52</f>
        <v>0.033</v>
      </c>
      <c r="D143" s="236">
        <f>'Input Data'!F56/2</f>
        <v>600000</v>
      </c>
      <c r="E143" s="237">
        <f t="shared" ref="E143:AZ143" si="25">D143*(1+$C143)</f>
        <v>619800</v>
      </c>
      <c r="F143" s="237">
        <f t="shared" si="25"/>
        <v>640253.4</v>
      </c>
      <c r="G143" s="237">
        <f t="shared" si="25"/>
        <v>661381.7622</v>
      </c>
      <c r="H143" s="237">
        <f t="shared" si="25"/>
        <v>683207.3604</v>
      </c>
      <c r="I143" s="237">
        <f t="shared" si="25"/>
        <v>705753.2032</v>
      </c>
      <c r="J143" s="237">
        <f t="shared" si="25"/>
        <v>729043.059</v>
      </c>
      <c r="K143" s="237">
        <f t="shared" si="25"/>
        <v>753101.4799</v>
      </c>
      <c r="L143" s="237">
        <f t="shared" si="25"/>
        <v>777953.8287</v>
      </c>
      <c r="M143" s="237">
        <f t="shared" si="25"/>
        <v>803626.3051</v>
      </c>
      <c r="N143" s="237">
        <f t="shared" si="25"/>
        <v>830145.9731</v>
      </c>
      <c r="O143" s="237">
        <f t="shared" si="25"/>
        <v>857540.7903</v>
      </c>
      <c r="P143" s="237">
        <f t="shared" si="25"/>
        <v>885839.6363</v>
      </c>
      <c r="Q143" s="237">
        <f t="shared" si="25"/>
        <v>915072.3443</v>
      </c>
      <c r="R143" s="237">
        <f t="shared" si="25"/>
        <v>945269.7317</v>
      </c>
      <c r="S143" s="237">
        <f t="shared" si="25"/>
        <v>976463.6329</v>
      </c>
      <c r="T143" s="237">
        <f t="shared" si="25"/>
        <v>1008686.933</v>
      </c>
      <c r="U143" s="237">
        <f t="shared" si="25"/>
        <v>1041973.602</v>
      </c>
      <c r="V143" s="237">
        <f t="shared" si="25"/>
        <v>1076358.73</v>
      </c>
      <c r="W143" s="237">
        <f t="shared" si="25"/>
        <v>1111878.568</v>
      </c>
      <c r="X143" s="237">
        <f t="shared" si="25"/>
        <v>1148570.561</v>
      </c>
      <c r="Y143" s="237">
        <f t="shared" si="25"/>
        <v>1186473.39</v>
      </c>
      <c r="Z143" s="237">
        <f t="shared" si="25"/>
        <v>1225627.012</v>
      </c>
      <c r="AA143" s="237">
        <f t="shared" si="25"/>
        <v>1266072.703</v>
      </c>
      <c r="AB143" s="237">
        <f t="shared" si="25"/>
        <v>1307853.102</v>
      </c>
      <c r="AC143" s="237">
        <f t="shared" si="25"/>
        <v>1351012.255</v>
      </c>
      <c r="AD143" s="237">
        <f t="shared" si="25"/>
        <v>1395595.659</v>
      </c>
      <c r="AE143" s="237">
        <f t="shared" si="25"/>
        <v>1441650.316</v>
      </c>
      <c r="AF143" s="237">
        <f t="shared" si="25"/>
        <v>1489224.776</v>
      </c>
      <c r="AG143" s="237">
        <f t="shared" si="25"/>
        <v>1538369.194</v>
      </c>
      <c r="AH143" s="237">
        <f t="shared" si="25"/>
        <v>1589135.377</v>
      </c>
      <c r="AI143" s="237">
        <f t="shared" si="25"/>
        <v>1641576.845</v>
      </c>
      <c r="AJ143" s="237">
        <f t="shared" si="25"/>
        <v>1695748.88</v>
      </c>
      <c r="AK143" s="237">
        <f t="shared" si="25"/>
        <v>1751708.594</v>
      </c>
      <c r="AL143" s="237">
        <f t="shared" si="25"/>
        <v>1809514.977</v>
      </c>
      <c r="AM143" s="237">
        <f t="shared" si="25"/>
        <v>1869228.971</v>
      </c>
      <c r="AN143" s="237">
        <f t="shared" si="25"/>
        <v>1930913.527</v>
      </c>
      <c r="AO143" s="237">
        <f t="shared" si="25"/>
        <v>1994633.674</v>
      </c>
      <c r="AP143" s="237">
        <f t="shared" si="25"/>
        <v>2060456.585</v>
      </c>
      <c r="AQ143" s="237">
        <f t="shared" si="25"/>
        <v>2128451.652</v>
      </c>
      <c r="AR143" s="237">
        <f t="shared" si="25"/>
        <v>2198690.557</v>
      </c>
      <c r="AS143" s="237">
        <f t="shared" si="25"/>
        <v>2271247.345</v>
      </c>
      <c r="AT143" s="237">
        <f t="shared" si="25"/>
        <v>2346198.508</v>
      </c>
      <c r="AU143" s="237">
        <f t="shared" si="25"/>
        <v>2423623.058</v>
      </c>
      <c r="AV143" s="237">
        <f t="shared" si="25"/>
        <v>2503602.619</v>
      </c>
      <c r="AW143" s="237">
        <f t="shared" si="25"/>
        <v>2586221.506</v>
      </c>
      <c r="AX143" s="237">
        <f t="shared" si="25"/>
        <v>2671566.815</v>
      </c>
      <c r="AY143" s="237">
        <f t="shared" si="25"/>
        <v>2759728.52</v>
      </c>
      <c r="AZ143" s="237">
        <f t="shared" si="25"/>
        <v>2850799.562</v>
      </c>
    </row>
    <row r="144">
      <c r="B144" s="238" t="s">
        <v>364</v>
      </c>
      <c r="C144" s="168"/>
      <c r="D144" s="236">
        <f>-C131</f>
        <v>-400000</v>
      </c>
      <c r="E144" s="237">
        <f t="shared" ref="E144:AZ144" si="26">if(-FV($C134,12,D145/12,D144)&lt;0,-FV($C134,12,D145/12,D144),0)
</f>
        <v>-390806.1383</v>
      </c>
      <c r="F144" s="237">
        <f t="shared" si="26"/>
        <v>-381214.7915</v>
      </c>
      <c r="G144" s="237">
        <f t="shared" si="26"/>
        <v>-371208.7747</v>
      </c>
      <c r="H144" s="237">
        <f t="shared" si="26"/>
        <v>-360770.1603</v>
      </c>
      <c r="I144" s="237">
        <f t="shared" si="26"/>
        <v>-349880.2453</v>
      </c>
      <c r="J144" s="237">
        <f t="shared" si="26"/>
        <v>-338519.5184</v>
      </c>
      <c r="K144" s="237">
        <f t="shared" si="26"/>
        <v>-326667.6246</v>
      </c>
      <c r="L144" s="237">
        <f t="shared" si="26"/>
        <v>-314303.329</v>
      </c>
      <c r="M144" s="237">
        <f t="shared" si="26"/>
        <v>-301404.4784</v>
      </c>
      <c r="N144" s="237">
        <f t="shared" si="26"/>
        <v>-287947.9621</v>
      </c>
      <c r="O144" s="237">
        <f t="shared" si="26"/>
        <v>-273909.67</v>
      </c>
      <c r="P144" s="237">
        <f t="shared" si="26"/>
        <v>-259264.4498</v>
      </c>
      <c r="Q144" s="237">
        <f t="shared" si="26"/>
        <v>-243986.0618</v>
      </c>
      <c r="R144" s="237">
        <f t="shared" si="26"/>
        <v>-228047.1317</v>
      </c>
      <c r="S144" s="237">
        <f t="shared" si="26"/>
        <v>-211419.1017</v>
      </c>
      <c r="T144" s="237">
        <f t="shared" si="26"/>
        <v>-194072.1796</v>
      </c>
      <c r="U144" s="237">
        <f t="shared" si="26"/>
        <v>-175975.2849</v>
      </c>
      <c r="V144" s="237">
        <f t="shared" si="26"/>
        <v>-157095.9935</v>
      </c>
      <c r="W144" s="237">
        <f t="shared" si="26"/>
        <v>-137400.4794</v>
      </c>
      <c r="X144" s="237">
        <f t="shared" si="26"/>
        <v>-116853.4543</v>
      </c>
      <c r="Y144" s="237">
        <f t="shared" si="26"/>
        <v>-95418.10407</v>
      </c>
      <c r="Z144" s="237">
        <f t="shared" si="26"/>
        <v>-73056.02318</v>
      </c>
      <c r="AA144" s="237">
        <f t="shared" si="26"/>
        <v>-49727.14556</v>
      </c>
      <c r="AB144" s="237">
        <f t="shared" si="26"/>
        <v>-25389.67295</v>
      </c>
      <c r="AC144" s="237">
        <f t="shared" si="26"/>
        <v>-0.0000000005675246939</v>
      </c>
      <c r="AD144" s="237">
        <f t="shared" si="26"/>
        <v>-0.0000000005920609178</v>
      </c>
      <c r="AE144" s="237">
        <f t="shared" si="26"/>
        <v>-0.0000000006176579347</v>
      </c>
      <c r="AF144" s="237">
        <f t="shared" si="26"/>
        <v>-0.0000000006443616069</v>
      </c>
      <c r="AG144" s="237">
        <f t="shared" si="26"/>
        <v>-0.000000000672219779</v>
      </c>
      <c r="AH144" s="237">
        <f t="shared" si="26"/>
        <v>-0.0000000007012823646</v>
      </c>
      <c r="AI144" s="237">
        <f t="shared" si="26"/>
        <v>-0.0000000007316014349</v>
      </c>
      <c r="AJ144" s="237">
        <f t="shared" si="26"/>
        <v>-0.0000000007632313124</v>
      </c>
      <c r="AK144" s="237">
        <f t="shared" si="26"/>
        <v>-0.0000000007962286684</v>
      </c>
      <c r="AL144" s="237">
        <f t="shared" si="26"/>
        <v>-0.0000000008306526239</v>
      </c>
      <c r="AM144" s="237">
        <f t="shared" si="26"/>
        <v>-0.0000000008665648564</v>
      </c>
      <c r="AN144" s="237">
        <f t="shared" si="26"/>
        <v>-0.0000000009040297095</v>
      </c>
      <c r="AO144" s="237">
        <f t="shared" si="26"/>
        <v>-0.0000000009431143089</v>
      </c>
      <c r="AP144" s="237">
        <f t="shared" si="26"/>
        <v>-0.0000000009838886824</v>
      </c>
      <c r="AQ144" s="237">
        <f t="shared" si="26"/>
        <v>-0.000000001026425885</v>
      </c>
      <c r="AR144" s="237">
        <f t="shared" si="26"/>
        <v>-0.000000001070802131</v>
      </c>
      <c r="AS144" s="237">
        <f t="shared" si="26"/>
        <v>-0.000000001117096928</v>
      </c>
      <c r="AT144" s="237">
        <f t="shared" si="26"/>
        <v>-0.000000001165393224</v>
      </c>
      <c r="AU144" s="237">
        <f t="shared" si="26"/>
        <v>-0.00000000121577755</v>
      </c>
      <c r="AV144" s="237">
        <f t="shared" si="26"/>
        <v>-0.000000001268340179</v>
      </c>
      <c r="AW144" s="237">
        <f t="shared" si="26"/>
        <v>-0.000000001323175288</v>
      </c>
      <c r="AX144" s="237">
        <f t="shared" si="26"/>
        <v>-0.000000001380381125</v>
      </c>
      <c r="AY144" s="237">
        <f t="shared" si="26"/>
        <v>-0.000000001440060185</v>
      </c>
      <c r="AZ144" s="237">
        <f t="shared" si="26"/>
        <v>-0.000000001502319395</v>
      </c>
    </row>
    <row r="145">
      <c r="B145" s="238" t="s">
        <v>365</v>
      </c>
      <c r="C145" s="168"/>
      <c r="D145" s="239">
        <f>if(D144&lt;0,if(COLUMN(D142)-COLUMN($D142)&lt;=$C$132-1,ann_payment,0),0)</f>
        <v>25976.55963</v>
      </c>
      <c r="E145" s="239">
        <f>if(E144&lt;0,if(COLUMN(E142)-COLUMN($D142)&lt;=$C$132-1,ann_payment,0),0)</f>
        <v>25976.55963</v>
      </c>
      <c r="F145" s="239">
        <f>if(F144&lt;0,if(COLUMN(F142)-COLUMN($D142)&lt;=$C$132-1,ann_payment,0),0)</f>
        <v>25976.55963</v>
      </c>
      <c r="G145" s="239">
        <f>if(G144&lt;0,if(COLUMN(G142)-COLUMN($D142)&lt;=$C$132-1,ann_payment,0),0)</f>
        <v>25976.55963</v>
      </c>
      <c r="H145" s="239">
        <f>if(H144&lt;0,if(COLUMN(H142)-COLUMN($D142)&lt;=$C$132-1,ann_payment,0),0)</f>
        <v>25976.55963</v>
      </c>
      <c r="I145" s="239">
        <f>if(I144&lt;0,if(COLUMN(I142)-COLUMN($D142)&lt;=$C$132-1,ann_payment,0),0)</f>
        <v>25976.55963</v>
      </c>
      <c r="J145" s="239">
        <f>if(J144&lt;0,if(COLUMN(J142)-COLUMN($D142)&lt;=$C$132-1,ann_payment,0),0)</f>
        <v>25976.55963</v>
      </c>
      <c r="K145" s="239">
        <f>if(K144&lt;0,if(COLUMN(K142)-COLUMN($D142)&lt;=$C$132-1,ann_payment,0),0)</f>
        <v>25976.55963</v>
      </c>
      <c r="L145" s="239">
        <f>if(L144&lt;0,if(COLUMN(L142)-COLUMN($D142)&lt;=$C$132-1,ann_payment,0),0)</f>
        <v>25976.55963</v>
      </c>
      <c r="M145" s="239">
        <f>if(M144&lt;0,if(COLUMN(M142)-COLUMN($D142)&lt;=$C$132-1,ann_payment,0),0)</f>
        <v>25976.55963</v>
      </c>
      <c r="N145" s="239">
        <f>if(N144&lt;0,if(COLUMN(N142)-COLUMN($D142)&lt;=$C$132-1,ann_payment,0),0)</f>
        <v>25976.55963</v>
      </c>
      <c r="O145" s="239">
        <f>if(O144&lt;0,if(COLUMN(O142)-COLUMN($D142)&lt;=$C$132-1,ann_payment,0),0)</f>
        <v>25976.55963</v>
      </c>
      <c r="P145" s="239">
        <f>if(P144&lt;0,if(COLUMN(P142)-COLUMN($D142)&lt;=$C$132-1,ann_payment,0),0)</f>
        <v>25976.55963</v>
      </c>
      <c r="Q145" s="239">
        <f>if(Q144&lt;0,if(COLUMN(Q142)-COLUMN($D142)&lt;=$C$132-1,ann_payment,0),0)</f>
        <v>25976.55963</v>
      </c>
      <c r="R145" s="239">
        <f>if(R144&lt;0,if(COLUMN(R142)-COLUMN($D142)&lt;=$C$132-1,ann_payment,0),0)</f>
        <v>25976.55963</v>
      </c>
      <c r="S145" s="239">
        <f>if(S144&lt;0,if(COLUMN(S142)-COLUMN($D142)&lt;=$C$132-1,ann_payment,0),0)</f>
        <v>25976.55963</v>
      </c>
      <c r="T145" s="239">
        <f>if(T144&lt;0,if(COLUMN(T142)-COLUMN($D142)&lt;=$C$132-1,ann_payment,0),0)</f>
        <v>25976.55963</v>
      </c>
      <c r="U145" s="239">
        <f>if(U144&lt;0,if(COLUMN(U142)-COLUMN($D142)&lt;=$C$132-1,ann_payment,0),0)</f>
        <v>25976.55963</v>
      </c>
      <c r="V145" s="239">
        <f>if(V144&lt;0,if(COLUMN(V142)-COLUMN($D142)&lt;=$C$132-1,ann_payment,0),0)</f>
        <v>25976.55963</v>
      </c>
      <c r="W145" s="239">
        <f>if(W144&lt;0,if(COLUMN(W142)-COLUMN($D142)&lt;=$C$132-1,ann_payment,0),0)</f>
        <v>25976.55963</v>
      </c>
      <c r="X145" s="239">
        <f>if(X144&lt;0,if(COLUMN(X142)-COLUMN($D142)&lt;=$C$132-1,ann_payment,0),0)</f>
        <v>25976.55963</v>
      </c>
      <c r="Y145" s="239">
        <f>if(Y144&lt;0,if(COLUMN(Y142)-COLUMN($D142)&lt;=$C$132-1,ann_payment,0),0)</f>
        <v>25976.55963</v>
      </c>
      <c r="Z145" s="239">
        <f>if(Z144&lt;0,if(COLUMN(Z142)-COLUMN($D142)&lt;=$C$132-1,ann_payment,0),0)</f>
        <v>25976.55963</v>
      </c>
      <c r="AA145" s="239">
        <f>if(AA144&lt;0,if(COLUMN(AA142)-COLUMN($D142)&lt;=$C$132-1,ann_payment,0),0)</f>
        <v>25976.55963</v>
      </c>
      <c r="AB145" s="239">
        <f>if(AB144&lt;0,if(COLUMN(AB142)-COLUMN($D142)&lt;=$C$132-1,ann_payment,0),0)</f>
        <v>25976.55963</v>
      </c>
      <c r="AC145" s="239">
        <f>if(AC144&lt;0,if(COLUMN(AC142)-COLUMN($D142)&lt;=$C$132-1,ann_payment,0),0)</f>
        <v>0</v>
      </c>
      <c r="AD145" s="239">
        <f>if(AD144&lt;0,if(COLUMN(AD142)-COLUMN($D142)&lt;=$C$132-1,ann_payment,0),0)</f>
        <v>0</v>
      </c>
      <c r="AE145" s="239">
        <f>if(AE144&lt;0,if(COLUMN(AE142)-COLUMN($D142)&lt;=$C$132-1,ann_payment,0),0)</f>
        <v>0</v>
      </c>
      <c r="AF145" s="239">
        <f>if(AF144&lt;0,if(COLUMN(AF142)-COLUMN($D142)&lt;=$C$132-1,ann_payment,0),0)</f>
        <v>0</v>
      </c>
      <c r="AG145" s="239">
        <f>if(AG144&lt;0,if(COLUMN(AG142)-COLUMN($D142)&lt;=$C$132-1,ann_payment,0),0)</f>
        <v>0</v>
      </c>
      <c r="AH145" s="239">
        <f>if(AH144&lt;0,if(COLUMN(AH142)-COLUMN($D142)&lt;=$C$132-1,ann_payment,0),0)</f>
        <v>0</v>
      </c>
      <c r="AI145" s="239">
        <f>if(AI144&lt;0,if(COLUMN(AI142)-COLUMN($D142)&lt;=$C$132-1,ann_payment,0),0)</f>
        <v>0</v>
      </c>
      <c r="AJ145" s="239">
        <f>if(AJ144&lt;0,if(COLUMN(AJ142)-COLUMN($D142)&lt;=$C$132-1,ann_payment,0),0)</f>
        <v>0</v>
      </c>
      <c r="AK145" s="239">
        <f>if(AK144&lt;0,if(COLUMN(AK142)-COLUMN($D142)&lt;=$C$132-1,ann_payment,0),0)</f>
        <v>0</v>
      </c>
      <c r="AL145" s="239">
        <f>if(AL144&lt;0,if(COLUMN(AL142)-COLUMN($D142)&lt;=$C$132-1,ann_payment,0),0)</f>
        <v>0</v>
      </c>
      <c r="AM145" s="239">
        <f>if(AM144&lt;0,if(COLUMN(AM142)-COLUMN($D142)&lt;=$C$132-1,ann_payment,0),0)</f>
        <v>0</v>
      </c>
      <c r="AN145" s="239">
        <f>if(AN144&lt;0,if(COLUMN(AN142)-COLUMN($D142)&lt;=$C$132-1,ann_payment,0),0)</f>
        <v>0</v>
      </c>
      <c r="AO145" s="239">
        <f>if(AO144&lt;0,if(COLUMN(AO142)-COLUMN($D142)&lt;=$C$132-1,ann_payment,0),0)</f>
        <v>0</v>
      </c>
      <c r="AP145" s="239">
        <f>if(AP144&lt;0,if(COLUMN(AP142)-COLUMN($D142)&lt;=$C$132-1,ann_payment,0),0)</f>
        <v>0</v>
      </c>
      <c r="AQ145" s="239">
        <f>if(AQ144&lt;0,if(COLUMN(AQ142)-COLUMN($D142)&lt;=$C$132-1,ann_payment,0),0)</f>
        <v>0</v>
      </c>
      <c r="AR145" s="239">
        <f>if(AR144&lt;0,if(COLUMN(AR142)-COLUMN($D142)&lt;=$C$132-1,ann_payment,0),0)</f>
        <v>0</v>
      </c>
      <c r="AS145" s="239">
        <f>if(AS144&lt;0,if(COLUMN(AS142)-COLUMN($D142)&lt;=$C$132-1,ann_payment,0),0)</f>
        <v>0</v>
      </c>
      <c r="AT145" s="239">
        <f>if(AT144&lt;0,if(COLUMN(AT142)-COLUMN($D142)&lt;=$C$132-1,ann_payment,0),0)</f>
        <v>0</v>
      </c>
      <c r="AU145" s="239">
        <f>if(AU144&lt;0,if(COLUMN(AU142)-COLUMN($D142)&lt;=$C$132-1,ann_payment,0),0)</f>
        <v>0</v>
      </c>
      <c r="AV145" s="239">
        <f>if(AV144&lt;0,if(COLUMN(AV142)-COLUMN($D142)&lt;=$C$132-1,ann_payment,0),0)</f>
        <v>0</v>
      </c>
      <c r="AW145" s="239">
        <f>if(AW144&lt;0,if(COLUMN(AW142)-COLUMN($D142)&lt;=$C$132-1,ann_payment,0),0)</f>
        <v>0</v>
      </c>
      <c r="AX145" s="239">
        <f>if(AX144&lt;0,if(COLUMN(AX142)-COLUMN($D142)&lt;=$C$132-1,ann_payment,0),0)</f>
        <v>0</v>
      </c>
      <c r="AY145" s="239">
        <f>if(AY144&lt;0,if(COLUMN(AY142)-COLUMN($D142)&lt;=$C$132-1,ann_payment,0),0)</f>
        <v>0</v>
      </c>
      <c r="AZ145" s="239">
        <f>if(AZ144&lt;0,if(COLUMN(AZ142)-COLUMN($D142)&lt;=$C$132-1,ann_payment,0),0)</f>
        <v>0</v>
      </c>
    </row>
    <row r="146">
      <c r="B146" s="238" t="s">
        <v>366</v>
      </c>
      <c r="C146" s="168"/>
      <c r="D146" s="240">
        <f t="shared" ref="D146:AZ146" si="27">E144-D144</f>
        <v>9193.861666</v>
      </c>
      <c r="E146" s="240">
        <f t="shared" si="27"/>
        <v>9591.346833</v>
      </c>
      <c r="F146" s="240">
        <f t="shared" si="27"/>
        <v>10006.01678</v>
      </c>
      <c r="G146" s="240">
        <f t="shared" si="27"/>
        <v>10438.61446</v>
      </c>
      <c r="H146" s="240">
        <f t="shared" si="27"/>
        <v>10889.91497</v>
      </c>
      <c r="I146" s="240">
        <f t="shared" si="27"/>
        <v>11360.72689</v>
      </c>
      <c r="J146" s="240">
        <f t="shared" si="27"/>
        <v>11851.89377</v>
      </c>
      <c r="K146" s="240">
        <f t="shared" si="27"/>
        <v>12364.29565</v>
      </c>
      <c r="L146" s="240">
        <f t="shared" si="27"/>
        <v>12898.85059</v>
      </c>
      <c r="M146" s="240">
        <f t="shared" si="27"/>
        <v>13456.51634</v>
      </c>
      <c r="N146" s="240">
        <f t="shared" si="27"/>
        <v>14038.29208</v>
      </c>
      <c r="O146" s="240">
        <f t="shared" si="27"/>
        <v>14645.22016</v>
      </c>
      <c r="P146" s="240">
        <f t="shared" si="27"/>
        <v>15278.38803</v>
      </c>
      <c r="Q146" s="240">
        <f t="shared" si="27"/>
        <v>15938.93012</v>
      </c>
      <c r="R146" s="240">
        <f t="shared" si="27"/>
        <v>16628.02993</v>
      </c>
      <c r="S146" s="240">
        <f t="shared" si="27"/>
        <v>17346.92211</v>
      </c>
      <c r="T146" s="240">
        <f t="shared" si="27"/>
        <v>18096.8947</v>
      </c>
      <c r="U146" s="240">
        <f t="shared" si="27"/>
        <v>18879.29142</v>
      </c>
      <c r="V146" s="240">
        <f t="shared" si="27"/>
        <v>19695.51409</v>
      </c>
      <c r="W146" s="240">
        <f t="shared" si="27"/>
        <v>20547.02513</v>
      </c>
      <c r="X146" s="240">
        <f t="shared" si="27"/>
        <v>21435.35019</v>
      </c>
      <c r="Y146" s="240">
        <f t="shared" si="27"/>
        <v>22362.08088</v>
      </c>
      <c r="Z146" s="240">
        <f t="shared" si="27"/>
        <v>23328.87762</v>
      </c>
      <c r="AA146" s="240">
        <f t="shared" si="27"/>
        <v>24337.47261</v>
      </c>
      <c r="AB146" s="240">
        <f t="shared" si="27"/>
        <v>25389.67295</v>
      </c>
      <c r="AC146" s="240">
        <f t="shared" si="27"/>
        <v>0</v>
      </c>
      <c r="AD146" s="240">
        <f t="shared" si="27"/>
        <v>0</v>
      </c>
      <c r="AE146" s="240">
        <f t="shared" si="27"/>
        <v>0</v>
      </c>
      <c r="AF146" s="240">
        <f t="shared" si="27"/>
        <v>0</v>
      </c>
      <c r="AG146" s="240">
        <f t="shared" si="27"/>
        <v>0</v>
      </c>
      <c r="AH146" s="240">
        <f t="shared" si="27"/>
        <v>0</v>
      </c>
      <c r="AI146" s="240">
        <f t="shared" si="27"/>
        <v>0</v>
      </c>
      <c r="AJ146" s="240">
        <f t="shared" si="27"/>
        <v>0</v>
      </c>
      <c r="AK146" s="240">
        <f t="shared" si="27"/>
        <v>0</v>
      </c>
      <c r="AL146" s="240">
        <f t="shared" si="27"/>
        <v>0</v>
      </c>
      <c r="AM146" s="240">
        <f t="shared" si="27"/>
        <v>0</v>
      </c>
      <c r="AN146" s="240">
        <f t="shared" si="27"/>
        <v>0</v>
      </c>
      <c r="AO146" s="240">
        <f t="shared" si="27"/>
        <v>0</v>
      </c>
      <c r="AP146" s="240">
        <f t="shared" si="27"/>
        <v>0</v>
      </c>
      <c r="AQ146" s="240">
        <f t="shared" si="27"/>
        <v>0</v>
      </c>
      <c r="AR146" s="240">
        <f t="shared" si="27"/>
        <v>0</v>
      </c>
      <c r="AS146" s="240">
        <f t="shared" si="27"/>
        <v>0</v>
      </c>
      <c r="AT146" s="240">
        <f t="shared" si="27"/>
        <v>0</v>
      </c>
      <c r="AU146" s="240">
        <f t="shared" si="27"/>
        <v>0</v>
      </c>
      <c r="AV146" s="240">
        <f t="shared" si="27"/>
        <v>0</v>
      </c>
      <c r="AW146" s="240">
        <f t="shared" si="27"/>
        <v>0</v>
      </c>
      <c r="AX146" s="240">
        <f t="shared" si="27"/>
        <v>0</v>
      </c>
      <c r="AY146" s="240">
        <f t="shared" si="27"/>
        <v>0</v>
      </c>
      <c r="AZ146" s="240">
        <f t="shared" si="27"/>
        <v>0.000000001502319395</v>
      </c>
    </row>
    <row r="147">
      <c r="B147" s="238" t="s">
        <v>367</v>
      </c>
      <c r="C147" s="168"/>
      <c r="D147" s="240">
        <f t="shared" ref="D147:AZ147" si="28">D145-D146</f>
        <v>16782.69797</v>
      </c>
      <c r="E147" s="240">
        <f t="shared" si="28"/>
        <v>16385.2128</v>
      </c>
      <c r="F147" s="240">
        <f t="shared" si="28"/>
        <v>15970.54286</v>
      </c>
      <c r="G147" s="240">
        <f t="shared" si="28"/>
        <v>15537.94517</v>
      </c>
      <c r="H147" s="240">
        <f t="shared" si="28"/>
        <v>15086.64467</v>
      </c>
      <c r="I147" s="240">
        <f t="shared" si="28"/>
        <v>14615.83275</v>
      </c>
      <c r="J147" s="240">
        <f t="shared" si="28"/>
        <v>14124.66586</v>
      </c>
      <c r="K147" s="240">
        <f t="shared" si="28"/>
        <v>13612.26398</v>
      </c>
      <c r="L147" s="240">
        <f t="shared" si="28"/>
        <v>13077.70905</v>
      </c>
      <c r="M147" s="240">
        <f t="shared" si="28"/>
        <v>12520.04329</v>
      </c>
      <c r="N147" s="240">
        <f t="shared" si="28"/>
        <v>11938.26756</v>
      </c>
      <c r="O147" s="240">
        <f t="shared" si="28"/>
        <v>11331.33947</v>
      </c>
      <c r="P147" s="240">
        <f t="shared" si="28"/>
        <v>10698.1716</v>
      </c>
      <c r="Q147" s="240">
        <f t="shared" si="28"/>
        <v>10037.62951</v>
      </c>
      <c r="R147" s="240">
        <f t="shared" si="28"/>
        <v>9348.529701</v>
      </c>
      <c r="S147" s="240">
        <f t="shared" si="28"/>
        <v>8629.63752</v>
      </c>
      <c r="T147" s="240">
        <f t="shared" si="28"/>
        <v>7879.664931</v>
      </c>
      <c r="U147" s="240">
        <f t="shared" si="28"/>
        <v>7097.26821</v>
      </c>
      <c r="V147" s="240">
        <f t="shared" si="28"/>
        <v>6281.045541</v>
      </c>
      <c r="W147" s="240">
        <f t="shared" si="28"/>
        <v>5429.5345</v>
      </c>
      <c r="X147" s="240">
        <f t="shared" si="28"/>
        <v>4541.209439</v>
      </c>
      <c r="Y147" s="240">
        <f t="shared" si="28"/>
        <v>3614.47875</v>
      </c>
      <c r="Z147" s="240">
        <f t="shared" si="28"/>
        <v>2647.682013</v>
      </c>
      <c r="AA147" s="240">
        <f t="shared" si="28"/>
        <v>1639.087022</v>
      </c>
      <c r="AB147" s="240">
        <f t="shared" si="28"/>
        <v>586.8866814</v>
      </c>
      <c r="AC147" s="240">
        <f t="shared" si="28"/>
        <v>0</v>
      </c>
      <c r="AD147" s="240">
        <f t="shared" si="28"/>
        <v>0</v>
      </c>
      <c r="AE147" s="240">
        <f t="shared" si="28"/>
        <v>0</v>
      </c>
      <c r="AF147" s="240">
        <f t="shared" si="28"/>
        <v>0</v>
      </c>
      <c r="AG147" s="240">
        <f t="shared" si="28"/>
        <v>0</v>
      </c>
      <c r="AH147" s="240">
        <f t="shared" si="28"/>
        <v>0</v>
      </c>
      <c r="AI147" s="240">
        <f t="shared" si="28"/>
        <v>0</v>
      </c>
      <c r="AJ147" s="240">
        <f t="shared" si="28"/>
        <v>0</v>
      </c>
      <c r="AK147" s="240">
        <f t="shared" si="28"/>
        <v>0</v>
      </c>
      <c r="AL147" s="240">
        <f t="shared" si="28"/>
        <v>0</v>
      </c>
      <c r="AM147" s="240">
        <f t="shared" si="28"/>
        <v>0</v>
      </c>
      <c r="AN147" s="240">
        <f t="shared" si="28"/>
        <v>0</v>
      </c>
      <c r="AO147" s="240">
        <f t="shared" si="28"/>
        <v>0</v>
      </c>
      <c r="AP147" s="240">
        <f t="shared" si="28"/>
        <v>0</v>
      </c>
      <c r="AQ147" s="240">
        <f t="shared" si="28"/>
        <v>0</v>
      </c>
      <c r="AR147" s="240">
        <f t="shared" si="28"/>
        <v>0</v>
      </c>
      <c r="AS147" s="240">
        <f t="shared" si="28"/>
        <v>0</v>
      </c>
      <c r="AT147" s="240">
        <f t="shared" si="28"/>
        <v>0</v>
      </c>
      <c r="AU147" s="240">
        <f t="shared" si="28"/>
        <v>0</v>
      </c>
      <c r="AV147" s="240">
        <f t="shared" si="28"/>
        <v>0</v>
      </c>
      <c r="AW147" s="240">
        <f t="shared" si="28"/>
        <v>0</v>
      </c>
      <c r="AX147" s="240">
        <f t="shared" si="28"/>
        <v>0</v>
      </c>
      <c r="AY147" s="240">
        <f t="shared" si="28"/>
        <v>0</v>
      </c>
      <c r="AZ147" s="240">
        <f t="shared" si="28"/>
        <v>-0.000000001502319395</v>
      </c>
    </row>
    <row r="148">
      <c r="B148" s="238" t="s">
        <v>368</v>
      </c>
      <c r="C148" s="168"/>
      <c r="D148" s="241">
        <v>0.0</v>
      </c>
      <c r="E148" s="241">
        <v>8000.0</v>
      </c>
      <c r="F148" s="241">
        <v>8000.0</v>
      </c>
      <c r="G148" s="241">
        <v>8000.0</v>
      </c>
      <c r="H148" s="241">
        <v>8000.0</v>
      </c>
      <c r="I148" s="241">
        <v>8000.0</v>
      </c>
      <c r="J148" s="241">
        <v>8000.0</v>
      </c>
      <c r="K148" s="241">
        <v>8000.0</v>
      </c>
      <c r="L148" s="241">
        <v>8000.0</v>
      </c>
      <c r="M148" s="241">
        <v>8000.0</v>
      </c>
      <c r="N148" s="241">
        <v>8000.0</v>
      </c>
      <c r="O148" s="241">
        <v>8000.0</v>
      </c>
      <c r="P148" s="241">
        <v>8000.0</v>
      </c>
      <c r="Q148" s="241">
        <v>8000.0</v>
      </c>
      <c r="R148" s="241">
        <v>8000.0</v>
      </c>
      <c r="S148" s="241">
        <v>8000.0</v>
      </c>
      <c r="T148" s="241">
        <v>8000.0</v>
      </c>
      <c r="U148" s="241">
        <v>8000.0</v>
      </c>
      <c r="V148" s="241">
        <v>8000.0</v>
      </c>
      <c r="W148" s="241">
        <v>8000.0</v>
      </c>
      <c r="X148" s="241">
        <v>8000.0</v>
      </c>
      <c r="Y148" s="241">
        <v>8000.0</v>
      </c>
      <c r="Z148" s="241">
        <v>8000.0</v>
      </c>
      <c r="AA148" s="241">
        <v>8000.0</v>
      </c>
      <c r="AB148" s="241">
        <v>8000.0</v>
      </c>
      <c r="AC148" s="241">
        <v>8000.0</v>
      </c>
      <c r="AD148" s="241">
        <v>0.0</v>
      </c>
      <c r="AE148" s="241">
        <v>0.0</v>
      </c>
      <c r="AF148" s="241">
        <v>0.0</v>
      </c>
      <c r="AG148" s="241">
        <v>0.0</v>
      </c>
      <c r="AH148" s="241">
        <v>0.0</v>
      </c>
      <c r="AI148" s="241">
        <v>0.0</v>
      </c>
      <c r="AJ148" s="241">
        <v>0.0</v>
      </c>
      <c r="AK148" s="241">
        <v>0.0</v>
      </c>
      <c r="AL148" s="241">
        <v>0.0</v>
      </c>
      <c r="AM148" s="241">
        <v>0.0</v>
      </c>
      <c r="AN148" s="241">
        <v>0.0</v>
      </c>
      <c r="AO148" s="241">
        <v>0.0</v>
      </c>
      <c r="AP148" s="241">
        <v>0.0</v>
      </c>
      <c r="AQ148" s="241">
        <v>0.0</v>
      </c>
      <c r="AR148" s="241">
        <v>0.0</v>
      </c>
      <c r="AS148" s="241">
        <v>0.0</v>
      </c>
      <c r="AT148" s="241">
        <v>0.0</v>
      </c>
      <c r="AU148" s="241">
        <v>0.0</v>
      </c>
      <c r="AV148" s="241">
        <v>0.0</v>
      </c>
      <c r="AW148" s="241">
        <v>0.0</v>
      </c>
      <c r="AX148" s="241">
        <v>0.0</v>
      </c>
      <c r="AY148" s="241">
        <v>0.0</v>
      </c>
      <c r="AZ148" s="241">
        <v>0.0</v>
      </c>
    </row>
    <row r="149">
      <c r="B149" s="242" t="s">
        <v>316</v>
      </c>
      <c r="C149" s="168"/>
      <c r="D149" s="198">
        <f t="shared" ref="D149:AZ149" si="29">-D145-D148</f>
        <v>-25976.55963</v>
      </c>
      <c r="E149" s="198">
        <f t="shared" si="29"/>
        <v>-33976.55963</v>
      </c>
      <c r="F149" s="198">
        <f t="shared" si="29"/>
        <v>-33976.55963</v>
      </c>
      <c r="G149" s="198">
        <f t="shared" si="29"/>
        <v>-33976.55963</v>
      </c>
      <c r="H149" s="198">
        <f t="shared" si="29"/>
        <v>-33976.55963</v>
      </c>
      <c r="I149" s="198">
        <f t="shared" si="29"/>
        <v>-33976.55963</v>
      </c>
      <c r="J149" s="198">
        <f t="shared" si="29"/>
        <v>-33976.55963</v>
      </c>
      <c r="K149" s="198">
        <f t="shared" si="29"/>
        <v>-33976.55963</v>
      </c>
      <c r="L149" s="198">
        <f t="shared" si="29"/>
        <v>-33976.55963</v>
      </c>
      <c r="M149" s="198">
        <f t="shared" si="29"/>
        <v>-33976.55963</v>
      </c>
      <c r="N149" s="198">
        <f t="shared" si="29"/>
        <v>-33976.55963</v>
      </c>
      <c r="O149" s="198">
        <f t="shared" si="29"/>
        <v>-33976.55963</v>
      </c>
      <c r="P149" s="198">
        <f t="shared" si="29"/>
        <v>-33976.55963</v>
      </c>
      <c r="Q149" s="198">
        <f t="shared" si="29"/>
        <v>-33976.55963</v>
      </c>
      <c r="R149" s="198">
        <f t="shared" si="29"/>
        <v>-33976.55963</v>
      </c>
      <c r="S149" s="198">
        <f t="shared" si="29"/>
        <v>-33976.55963</v>
      </c>
      <c r="T149" s="198">
        <f t="shared" si="29"/>
        <v>-33976.55963</v>
      </c>
      <c r="U149" s="198">
        <f t="shared" si="29"/>
        <v>-33976.55963</v>
      </c>
      <c r="V149" s="198">
        <f t="shared" si="29"/>
        <v>-33976.55963</v>
      </c>
      <c r="W149" s="198">
        <f t="shared" si="29"/>
        <v>-33976.55963</v>
      </c>
      <c r="X149" s="198">
        <f t="shared" si="29"/>
        <v>-33976.55963</v>
      </c>
      <c r="Y149" s="198">
        <f t="shared" si="29"/>
        <v>-33976.55963</v>
      </c>
      <c r="Z149" s="198">
        <f t="shared" si="29"/>
        <v>-33976.55963</v>
      </c>
      <c r="AA149" s="198">
        <f t="shared" si="29"/>
        <v>-33976.55963</v>
      </c>
      <c r="AB149" s="198">
        <f t="shared" si="29"/>
        <v>-33976.55963</v>
      </c>
      <c r="AC149" s="198">
        <f t="shared" si="29"/>
        <v>-8000</v>
      </c>
      <c r="AD149" s="198">
        <f t="shared" si="29"/>
        <v>0</v>
      </c>
      <c r="AE149" s="198">
        <f t="shared" si="29"/>
        <v>0</v>
      </c>
      <c r="AF149" s="198">
        <f t="shared" si="29"/>
        <v>0</v>
      </c>
      <c r="AG149" s="198">
        <f t="shared" si="29"/>
        <v>0</v>
      </c>
      <c r="AH149" s="198">
        <f t="shared" si="29"/>
        <v>0</v>
      </c>
      <c r="AI149" s="198">
        <f t="shared" si="29"/>
        <v>0</v>
      </c>
      <c r="AJ149" s="198">
        <f t="shared" si="29"/>
        <v>0</v>
      </c>
      <c r="AK149" s="198">
        <f t="shared" si="29"/>
        <v>0</v>
      </c>
      <c r="AL149" s="198">
        <f t="shared" si="29"/>
        <v>0</v>
      </c>
      <c r="AM149" s="198">
        <f t="shared" si="29"/>
        <v>0</v>
      </c>
      <c r="AN149" s="198">
        <f t="shared" si="29"/>
        <v>0</v>
      </c>
      <c r="AO149" s="198">
        <f t="shared" si="29"/>
        <v>0</v>
      </c>
      <c r="AP149" s="198">
        <f t="shared" si="29"/>
        <v>0</v>
      </c>
      <c r="AQ149" s="198">
        <f t="shared" si="29"/>
        <v>0</v>
      </c>
      <c r="AR149" s="198">
        <f t="shared" si="29"/>
        <v>0</v>
      </c>
      <c r="AS149" s="198">
        <f t="shared" si="29"/>
        <v>0</v>
      </c>
      <c r="AT149" s="198">
        <f t="shared" si="29"/>
        <v>0</v>
      </c>
      <c r="AU149" s="198">
        <f t="shared" si="29"/>
        <v>0</v>
      </c>
      <c r="AV149" s="198">
        <f t="shared" si="29"/>
        <v>0</v>
      </c>
      <c r="AW149" s="198">
        <f t="shared" si="29"/>
        <v>0</v>
      </c>
      <c r="AX149" s="198">
        <f t="shared" si="29"/>
        <v>0</v>
      </c>
      <c r="AY149" s="198">
        <f t="shared" si="29"/>
        <v>0</v>
      </c>
      <c r="AZ149" s="198">
        <f t="shared" si="29"/>
        <v>0</v>
      </c>
    </row>
    <row r="150">
      <c r="B150" s="168"/>
      <c r="C150" s="192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168"/>
      <c r="AY150" s="168"/>
      <c r="AZ150" s="168"/>
    </row>
    <row r="151">
      <c r="B151" s="126" t="s">
        <v>369</v>
      </c>
      <c r="C151" s="192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  <c r="AZ151" s="168"/>
    </row>
    <row r="152">
      <c r="B152" s="139"/>
      <c r="C152" s="192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  <c r="AZ152" s="168"/>
    </row>
    <row r="153">
      <c r="B153" s="238" t="s">
        <v>370</v>
      </c>
      <c r="C153" s="168"/>
      <c r="D153" s="207">
        <f>D143+D144-down_payment-sum($D145:D145)</f>
        <v>-25976.55963</v>
      </c>
      <c r="E153" s="207">
        <f>E143+E144-down_payment-sum($D145:E145)</f>
        <v>-22959.2576</v>
      </c>
      <c r="F153" s="207">
        <f>F143+F144-down_payment-sum($D145:F145)</f>
        <v>-18891.0704</v>
      </c>
      <c r="G153" s="207">
        <f>G143+G144-down_payment-sum($D145:G145)</f>
        <v>-13733.25106</v>
      </c>
      <c r="H153" s="207">
        <f>H143+H144-down_payment-sum($D145:H145)</f>
        <v>-7445.59808</v>
      </c>
      <c r="I153" s="207">
        <f>I143+I144-down_payment-sum($D145:I145)</f>
        <v>13.60014325</v>
      </c>
      <c r="J153" s="207">
        <f>J143+J144-down_payment-sum($D145:J145)</f>
        <v>8687.623103</v>
      </c>
      <c r="K153" s="207">
        <f>K143+K144-down_payment-sum($D145:K145)</f>
        <v>18621.37819</v>
      </c>
      <c r="L153" s="207">
        <f>L143+L144-down_payment-sum($D145:L145)</f>
        <v>29861.46304</v>
      </c>
      <c r="M153" s="207">
        <f>M143+M144-down_payment-sum($D145:M145)</f>
        <v>42456.23035</v>
      </c>
      <c r="N153" s="207">
        <f>N143+N144-down_payment-sum($D145:N145)</f>
        <v>56455.85512</v>
      </c>
      <c r="O153" s="207">
        <f>O143+O144-down_payment-sum($D145:O145)</f>
        <v>71912.40468</v>
      </c>
      <c r="P153" s="207">
        <f>P143+P144-down_payment-sum($D145:P145)</f>
        <v>88879.91129</v>
      </c>
      <c r="Q153" s="207">
        <f>Q143+Q144-down_payment-sum($D145:Q145)</f>
        <v>107414.4477</v>
      </c>
      <c r="R153" s="207">
        <f>R143+R144-down_payment-sum($D145:R145)</f>
        <v>127574.2055</v>
      </c>
      <c r="S153" s="207">
        <f>S143+S144-down_payment-sum($D145:S145)</f>
        <v>149419.577</v>
      </c>
      <c r="T153" s="207">
        <f>T143+T144-down_payment-sum($D145:T145)</f>
        <v>173013.2393</v>
      </c>
      <c r="U153" s="207">
        <f>U143+U144-down_payment-sum($D145:U145)</f>
        <v>198420.2432</v>
      </c>
      <c r="V153" s="207">
        <f>V143+V144-down_payment-sum($D145:V145)</f>
        <v>225708.1038</v>
      </c>
      <c r="W153" s="207">
        <f>W143+W144-down_payment-sum($D145:W145)</f>
        <v>254946.8964</v>
      </c>
      <c r="X153" s="207">
        <f>X143+X144-down_payment-sum($D145:X145)</f>
        <v>286209.3547</v>
      </c>
      <c r="Y153" s="207">
        <f>Y143+Y144-down_payment-sum($D145:Y145)</f>
        <v>319570.9737</v>
      </c>
      <c r="Z153" s="207">
        <f>Z143+Z144-down_payment-sum($D145:Z145)</f>
        <v>355110.1168</v>
      </c>
      <c r="AA153" s="207">
        <f>AA143+AA144-down_payment-sum($D145:AA145)</f>
        <v>392908.1262</v>
      </c>
      <c r="AB153" s="207">
        <f>AB143+AB144-down_payment-sum($D145:AB145)</f>
        <v>433049.4384</v>
      </c>
      <c r="AC153" s="207">
        <f>AC143+AC144-down_payment-sum($D145:AC145)</f>
        <v>501598.2637</v>
      </c>
      <c r="AD153" s="207">
        <f>AD143+AD144-down_payment-sum($D145:AD145)</f>
        <v>546181.6681</v>
      </c>
      <c r="AE153" s="207">
        <f>AE143+AE144-down_payment-sum($D145:AE145)</f>
        <v>592236.3249</v>
      </c>
      <c r="AF153" s="207">
        <f>AF143+AF144-down_payment-sum($D145:AF145)</f>
        <v>639810.7853</v>
      </c>
      <c r="AG153" s="207">
        <f>AG143+AG144-down_payment-sum($D145:AG145)</f>
        <v>688955.2029</v>
      </c>
      <c r="AH153" s="207">
        <f>AH143+AH144-down_payment-sum($D145:AH145)</f>
        <v>739721.3863</v>
      </c>
      <c r="AI153" s="207">
        <f>AI143+AI144-down_payment-sum($D145:AI145)</f>
        <v>792162.8537</v>
      </c>
      <c r="AJ153" s="207">
        <f>AJ143+AJ144-down_payment-sum($D145:AJ145)</f>
        <v>846334.8896</v>
      </c>
      <c r="AK153" s="207">
        <f>AK143+AK144-down_payment-sum($D145:AK145)</f>
        <v>902294.6027</v>
      </c>
      <c r="AL153" s="207">
        <f>AL143+AL144-down_payment-sum($D145:AL145)</f>
        <v>960100.9862</v>
      </c>
      <c r="AM153" s="207">
        <f>AM143+AM144-down_payment-sum($D145:AM145)</f>
        <v>1019814.98</v>
      </c>
      <c r="AN153" s="207">
        <f>AN143+AN144-down_payment-sum($D145:AN145)</f>
        <v>1081499.537</v>
      </c>
      <c r="AO153" s="207">
        <f>AO143+AO144-down_payment-sum($D145:AO145)</f>
        <v>1145219.683</v>
      </c>
      <c r="AP153" s="207">
        <f>AP143+AP144-down_payment-sum($D145:AP145)</f>
        <v>1211042.594</v>
      </c>
      <c r="AQ153" s="207">
        <f>AQ143+AQ144-down_payment-sum($D145:AQ145)</f>
        <v>1279037.661</v>
      </c>
      <c r="AR153" s="207">
        <f>AR143+AR144-down_payment-sum($D145:AR145)</f>
        <v>1349276.566</v>
      </c>
      <c r="AS153" s="207">
        <f>AS143+AS144-down_payment-sum($D145:AS145)</f>
        <v>1421833.354</v>
      </c>
      <c r="AT153" s="207">
        <f>AT143+AT144-down_payment-sum($D145:AT145)</f>
        <v>1496784.517</v>
      </c>
      <c r="AU153" s="207">
        <f>AU143+AU144-down_payment-sum($D145:AU145)</f>
        <v>1574209.068</v>
      </c>
      <c r="AV153" s="207">
        <f>AV143+AV144-down_payment-sum($D145:AV145)</f>
        <v>1654188.628</v>
      </c>
      <c r="AW153" s="207">
        <f>AW143+AW144-down_payment-sum($D145:AW145)</f>
        <v>1736807.515</v>
      </c>
      <c r="AX153" s="207">
        <f>AX143+AX144-down_payment-sum($D145:AX145)</f>
        <v>1822152.825</v>
      </c>
      <c r="AY153" s="207">
        <f>AY143+AY144-down_payment-sum($D145:AY145)</f>
        <v>1910314.53</v>
      </c>
      <c r="AZ153" s="207">
        <f>AZ143+AZ144-down_payment-sum($D145:AZ145)</f>
        <v>2001385.571</v>
      </c>
    </row>
    <row r="154">
      <c r="B154" s="208"/>
      <c r="C154" s="168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AQ154" s="209"/>
      <c r="AR154" s="209"/>
      <c r="AS154" s="209"/>
      <c r="AT154" s="209"/>
      <c r="AU154" s="209"/>
      <c r="AV154" s="209"/>
      <c r="AW154" s="209"/>
      <c r="AX154" s="209"/>
      <c r="AY154" s="209"/>
      <c r="AZ154" s="209"/>
    </row>
    <row r="155">
      <c r="B155" s="168"/>
      <c r="C155" s="168"/>
      <c r="D155" s="209"/>
      <c r="E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AQ155" s="209"/>
      <c r="AR155" s="209"/>
      <c r="AS155" s="209"/>
      <c r="AT155" s="209"/>
      <c r="AU155" s="209"/>
      <c r="AV155" s="209"/>
      <c r="AW155" s="209"/>
      <c r="AX155" s="209"/>
      <c r="AY155" s="209"/>
      <c r="AZ155" s="209"/>
    </row>
    <row r="156">
      <c r="B156" s="161" t="s">
        <v>309</v>
      </c>
      <c r="C156" s="162" t="str">
        <f>"1 year ("&amp;(Year(today())+1)&amp;")"</f>
        <v>1 year (2026)</v>
      </c>
      <c r="D156" s="162" t="str">
        <f>"5 years ("&amp;(Year(today())+5)&amp;")"</f>
        <v>5 years (2030)</v>
      </c>
      <c r="E156" s="162" t="str">
        <f>"10 years ("&amp;(Year(today())+10)&amp;")"</f>
        <v>10 years (2035)</v>
      </c>
      <c r="F156" s="162" t="str">
        <f>"20 years ("&amp;(Year(today())+20)&amp;")"</f>
        <v>20 years (2045)</v>
      </c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  <c r="AQ156" s="209"/>
      <c r="AR156" s="209"/>
      <c r="AS156" s="209"/>
      <c r="AT156" s="209"/>
      <c r="AU156" s="209"/>
      <c r="AV156" s="209"/>
      <c r="AW156" s="209"/>
      <c r="AX156" s="209"/>
      <c r="AY156" s="209"/>
      <c r="AZ156" s="209"/>
    </row>
    <row r="157">
      <c r="B157" s="243" t="s">
        <v>371</v>
      </c>
      <c r="C157" s="164">
        <f>E153</f>
        <v>-22959.2576</v>
      </c>
      <c r="D157" s="164">
        <f>I153</f>
        <v>13.60014325</v>
      </c>
      <c r="E157" s="164">
        <f>N153</f>
        <v>56455.85512</v>
      </c>
      <c r="F157" s="164">
        <f>X153</f>
        <v>286209.3547</v>
      </c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168"/>
    </row>
    <row r="158">
      <c r="B158" s="244" t="s">
        <v>251</v>
      </c>
      <c r="C158" s="245">
        <f>C157/dn_nw_1y</f>
        <v>0.2574429521</v>
      </c>
      <c r="D158" s="245">
        <f>D157/dn_nw_5y</f>
        <v>0.00004848247075</v>
      </c>
      <c r="E158" s="245">
        <f>E157/dn_nw_10y</f>
        <v>0.07188894372</v>
      </c>
      <c r="F158" s="245">
        <f>F157/dn_nw_20y</f>
        <v>0.08811921212</v>
      </c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  <c r="AZ158" s="168"/>
    </row>
    <row r="159">
      <c r="D159" s="168"/>
      <c r="E159" s="168"/>
      <c r="F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168"/>
    </row>
    <row r="160"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  <c r="AZ160" s="168"/>
    </row>
    <row r="161"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168"/>
    </row>
    <row r="162"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  <c r="AZ162" s="168"/>
    </row>
    <row r="167">
      <c r="B167" s="167" t="s">
        <v>372</v>
      </c>
      <c r="C167" s="167"/>
    </row>
    <row r="168">
      <c r="B168" s="168"/>
      <c r="C168" s="168"/>
    </row>
    <row r="169">
      <c r="B169" s="169" t="s">
        <v>280</v>
      </c>
      <c r="C169" s="224"/>
    </row>
    <row r="170">
      <c r="B170" s="168"/>
      <c r="C170" s="168"/>
    </row>
    <row r="171">
      <c r="A171" s="223">
        <v>2.0</v>
      </c>
      <c r="B171" s="167" t="s">
        <v>313</v>
      </c>
    </row>
    <row r="172">
      <c r="B172" s="168"/>
      <c r="C172" s="168"/>
    </row>
    <row r="173">
      <c r="B173" s="172" t="s">
        <v>314</v>
      </c>
      <c r="C173" s="173" t="s">
        <v>315</v>
      </c>
    </row>
    <row r="174">
      <c r="B174" s="172" t="s">
        <v>316</v>
      </c>
      <c r="C174" s="225" t="s">
        <v>317</v>
      </c>
    </row>
    <row r="175">
      <c r="B175" s="172" t="s">
        <v>318</v>
      </c>
      <c r="C175" s="225" t="s">
        <v>317</v>
      </c>
    </row>
    <row r="176">
      <c r="B176" s="172" t="s">
        <v>353</v>
      </c>
      <c r="C176" s="225" t="s">
        <v>319</v>
      </c>
    </row>
    <row r="177">
      <c r="C177" s="168"/>
    </row>
    <row r="178">
      <c r="B178" s="126" t="s">
        <v>373</v>
      </c>
      <c r="C178" s="168"/>
    </row>
    <row r="179">
      <c r="B179" s="226" t="s">
        <v>322</v>
      </c>
      <c r="C179" s="246">
        <f t="array" ref="C179">INDEX('Input Data'!E$11:E$13, A171)-INDEX('Input Data'!I11:I13, A171)</f>
        <v>15800</v>
      </c>
    </row>
    <row r="180">
      <c r="B180" s="226" t="s">
        <v>146</v>
      </c>
      <c r="C180" s="247">
        <f t="array" ref="C180">INDEX('Input Data'!G$11:G$13, A171)</f>
        <v>6</v>
      </c>
      <c r="D180" s="248" t="str">
        <f t="array" ref="D180">INDEX('Input Data'!H$11:H$13, A171)</f>
        <v>Months</v>
      </c>
    </row>
    <row r="181">
      <c r="B181" s="168"/>
      <c r="C181" s="168"/>
    </row>
    <row r="182">
      <c r="B182" s="226" t="s">
        <v>361</v>
      </c>
      <c r="C182" s="249">
        <f>PMT(0, C180*12, -C179)</f>
        <v>219.4444444</v>
      </c>
    </row>
    <row r="183">
      <c r="B183" s="226" t="s">
        <v>360</v>
      </c>
      <c r="C183" s="250">
        <f>C182*12</f>
        <v>2633.333333</v>
      </c>
    </row>
    <row r="184">
      <c r="B184" s="226" t="s">
        <v>374</v>
      </c>
      <c r="C184" s="250">
        <f>C183*C180</f>
        <v>15800</v>
      </c>
    </row>
    <row r="185">
      <c r="B185" s="226" t="s">
        <v>375</v>
      </c>
      <c r="C185" s="250">
        <f>C184-C179</f>
        <v>0</v>
      </c>
    </row>
    <row r="187">
      <c r="B187" s="168"/>
      <c r="C187" s="168"/>
      <c r="D187" s="85" t="s">
        <v>285</v>
      </c>
      <c r="E187" s="193">
        <v>46143.0</v>
      </c>
      <c r="F187" s="193">
        <v>46508.0</v>
      </c>
      <c r="G187" s="193">
        <v>46874.0</v>
      </c>
      <c r="H187" s="193">
        <v>47239.0</v>
      </c>
      <c r="I187" s="193">
        <v>47604.0</v>
      </c>
      <c r="J187" s="193">
        <v>47969.0</v>
      </c>
      <c r="K187" s="193">
        <v>48335.0</v>
      </c>
      <c r="L187" s="193">
        <v>48700.0</v>
      </c>
      <c r="M187" s="193">
        <v>49065.0</v>
      </c>
      <c r="N187" s="193">
        <v>49430.0</v>
      </c>
      <c r="O187" s="193">
        <v>49796.0</v>
      </c>
      <c r="P187" s="193">
        <v>50161.0</v>
      </c>
      <c r="Q187" s="193">
        <v>50526.0</v>
      </c>
      <c r="R187" s="193">
        <v>50891.0</v>
      </c>
      <c r="S187" s="193">
        <v>51257.0</v>
      </c>
      <c r="T187" s="193">
        <v>51622.0</v>
      </c>
      <c r="U187" s="193">
        <v>51987.0</v>
      </c>
      <c r="V187" s="193">
        <v>52352.0</v>
      </c>
      <c r="W187" s="193">
        <v>52718.0</v>
      </c>
      <c r="X187" s="193">
        <v>53083.0</v>
      </c>
      <c r="Y187" s="193">
        <v>53448.0</v>
      </c>
      <c r="Z187" s="193">
        <v>53813.0</v>
      </c>
      <c r="AA187" s="193">
        <v>54179.0</v>
      </c>
      <c r="AB187" s="193">
        <v>54544.0</v>
      </c>
      <c r="AC187" s="193">
        <v>54909.0</v>
      </c>
      <c r="AD187" s="193">
        <v>55274.0</v>
      </c>
      <c r="AE187" s="193">
        <v>55640.0</v>
      </c>
      <c r="AF187" s="193">
        <v>56005.0</v>
      </c>
      <c r="AG187" s="193">
        <v>56370.0</v>
      </c>
      <c r="AH187" s="193">
        <v>56735.0</v>
      </c>
      <c r="AI187" s="193">
        <v>57101.0</v>
      </c>
      <c r="AJ187" s="193">
        <v>57466.0</v>
      </c>
      <c r="AK187" s="193">
        <v>57831.0</v>
      </c>
      <c r="AL187" s="193">
        <v>58196.0</v>
      </c>
      <c r="AM187" s="193">
        <v>58562.0</v>
      </c>
      <c r="AN187" s="193">
        <v>58927.0</v>
      </c>
      <c r="AO187" s="193">
        <v>59292.0</v>
      </c>
      <c r="AP187" s="193">
        <v>59657.0</v>
      </c>
      <c r="AQ187" s="193">
        <v>60023.0</v>
      </c>
      <c r="AR187" s="193">
        <v>60388.0</v>
      </c>
      <c r="AS187" s="193">
        <v>60753.0</v>
      </c>
      <c r="AT187" s="193">
        <v>61118.0</v>
      </c>
      <c r="AU187" s="193">
        <v>61484.0</v>
      </c>
      <c r="AV187" s="193">
        <v>61849.0</v>
      </c>
      <c r="AW187" s="193">
        <v>62214.0</v>
      </c>
      <c r="AX187" s="193">
        <v>62579.0</v>
      </c>
      <c r="AY187" s="193">
        <v>62945.0</v>
      </c>
      <c r="AZ187" s="193">
        <v>63310.0</v>
      </c>
    </row>
    <row r="188">
      <c r="B188" s="242" t="s">
        <v>376</v>
      </c>
      <c r="C188" s="168"/>
      <c r="D188" s="236">
        <v>-10800.0</v>
      </c>
      <c r="E188" s="239">
        <v>0.0</v>
      </c>
      <c r="F188" s="239">
        <v>0.0</v>
      </c>
      <c r="G188" s="239">
        <v>0.0</v>
      </c>
      <c r="H188" s="239">
        <v>0.0</v>
      </c>
      <c r="I188" s="239">
        <v>0.0</v>
      </c>
      <c r="J188" s="239">
        <v>0.0</v>
      </c>
      <c r="K188" s="239">
        <v>0.0</v>
      </c>
      <c r="L188" s="239">
        <v>0.0</v>
      </c>
      <c r="M188" s="239">
        <v>0.0</v>
      </c>
      <c r="N188" s="239">
        <v>0.0</v>
      </c>
      <c r="O188" s="239">
        <v>0.0</v>
      </c>
      <c r="P188" s="239">
        <v>0.0</v>
      </c>
      <c r="Q188" s="239">
        <v>0.0</v>
      </c>
      <c r="R188" s="239">
        <v>0.0</v>
      </c>
      <c r="S188" s="239">
        <v>0.0</v>
      </c>
      <c r="T188" s="239">
        <v>0.0</v>
      </c>
      <c r="U188" s="239">
        <v>0.0</v>
      </c>
      <c r="V188" s="239">
        <v>0.0</v>
      </c>
      <c r="W188" s="239">
        <v>0.0</v>
      </c>
      <c r="X188" s="239">
        <v>0.0</v>
      </c>
      <c r="Y188" s="239">
        <v>0.0</v>
      </c>
      <c r="Z188" s="239">
        <v>0.0</v>
      </c>
      <c r="AA188" s="239">
        <v>0.0</v>
      </c>
      <c r="AB188" s="239">
        <v>0.0</v>
      </c>
      <c r="AC188" s="239">
        <v>0.0</v>
      </c>
      <c r="AD188" s="239">
        <v>0.0</v>
      </c>
      <c r="AE188" s="239">
        <v>0.0</v>
      </c>
      <c r="AF188" s="239">
        <v>0.0</v>
      </c>
      <c r="AG188" s="239">
        <v>0.0</v>
      </c>
      <c r="AH188" s="239">
        <v>0.0</v>
      </c>
      <c r="AI188" s="239">
        <v>0.0</v>
      </c>
      <c r="AJ188" s="239">
        <v>0.0</v>
      </c>
      <c r="AK188" s="239">
        <v>0.0</v>
      </c>
      <c r="AL188" s="239">
        <v>0.0</v>
      </c>
      <c r="AM188" s="239">
        <v>0.0</v>
      </c>
      <c r="AN188" s="239">
        <v>0.0</v>
      </c>
      <c r="AO188" s="239">
        <v>0.0</v>
      </c>
      <c r="AP188" s="239">
        <v>0.0</v>
      </c>
      <c r="AQ188" s="239">
        <v>0.0</v>
      </c>
      <c r="AR188" s="239">
        <v>0.0</v>
      </c>
      <c r="AS188" s="239">
        <v>0.0</v>
      </c>
      <c r="AT188" s="239">
        <v>0.0</v>
      </c>
      <c r="AU188" s="239">
        <v>0.0</v>
      </c>
      <c r="AV188" s="239">
        <v>0.0</v>
      </c>
      <c r="AW188" s="239">
        <v>0.0</v>
      </c>
      <c r="AX188" s="239">
        <v>0.0</v>
      </c>
      <c r="AY188" s="239">
        <v>0.0</v>
      </c>
      <c r="AZ188" s="239">
        <v>0.0</v>
      </c>
    </row>
    <row r="189">
      <c r="B189" s="242" t="s">
        <v>377</v>
      </c>
      <c r="C189" s="168"/>
      <c r="D189" s="251">
        <v>-5000.0</v>
      </c>
      <c r="E189" s="239">
        <v>0.0</v>
      </c>
      <c r="F189" s="239">
        <v>0.0</v>
      </c>
      <c r="G189" s="239">
        <v>0.0</v>
      </c>
      <c r="H189" s="239">
        <v>0.0</v>
      </c>
      <c r="I189" s="239">
        <v>0.0</v>
      </c>
      <c r="J189" s="239">
        <v>0.0</v>
      </c>
      <c r="K189" s="239">
        <v>0.0</v>
      </c>
      <c r="L189" s="239">
        <v>0.0</v>
      </c>
      <c r="M189" s="239">
        <v>0.0</v>
      </c>
      <c r="N189" s="239">
        <v>0.0</v>
      </c>
      <c r="O189" s="239">
        <v>0.0</v>
      </c>
      <c r="P189" s="239">
        <v>0.0</v>
      </c>
      <c r="Q189" s="239">
        <v>0.0</v>
      </c>
      <c r="R189" s="239">
        <v>0.0</v>
      </c>
      <c r="S189" s="239">
        <v>0.0</v>
      </c>
      <c r="T189" s="239">
        <v>0.0</v>
      </c>
      <c r="U189" s="239">
        <v>0.0</v>
      </c>
      <c r="V189" s="239">
        <v>0.0</v>
      </c>
      <c r="W189" s="239">
        <v>0.0</v>
      </c>
      <c r="X189" s="239">
        <v>0.0</v>
      </c>
      <c r="Y189" s="239">
        <v>0.0</v>
      </c>
      <c r="Z189" s="239">
        <v>0.0</v>
      </c>
      <c r="AA189" s="239">
        <v>0.0</v>
      </c>
      <c r="AB189" s="239">
        <v>0.0</v>
      </c>
      <c r="AC189" s="239">
        <v>0.0</v>
      </c>
      <c r="AD189" s="239">
        <v>0.0</v>
      </c>
      <c r="AE189" s="239">
        <v>0.0</v>
      </c>
      <c r="AF189" s="239">
        <v>0.0</v>
      </c>
      <c r="AG189" s="239">
        <v>0.0</v>
      </c>
      <c r="AH189" s="239">
        <v>0.0</v>
      </c>
      <c r="AI189" s="239">
        <v>0.0</v>
      </c>
      <c r="AJ189" s="239">
        <v>0.0</v>
      </c>
      <c r="AK189" s="239">
        <v>0.0</v>
      </c>
      <c r="AL189" s="239">
        <v>0.0</v>
      </c>
      <c r="AM189" s="239">
        <v>0.0</v>
      </c>
      <c r="AN189" s="239">
        <v>0.0</v>
      </c>
      <c r="AO189" s="239">
        <v>0.0</v>
      </c>
      <c r="AP189" s="239">
        <v>0.0</v>
      </c>
      <c r="AQ189" s="239">
        <v>0.0</v>
      </c>
      <c r="AR189" s="239">
        <v>0.0</v>
      </c>
      <c r="AS189" s="239">
        <v>0.0</v>
      </c>
      <c r="AT189" s="239">
        <v>0.0</v>
      </c>
      <c r="AU189" s="239">
        <v>0.0</v>
      </c>
      <c r="AV189" s="239">
        <v>0.0</v>
      </c>
      <c r="AW189" s="239">
        <v>0.0</v>
      </c>
      <c r="AX189" s="239">
        <v>0.0</v>
      </c>
      <c r="AY189" s="239">
        <v>0.0</v>
      </c>
      <c r="AZ189" s="239">
        <v>0.0</v>
      </c>
    </row>
    <row r="190">
      <c r="B190" s="242" t="s">
        <v>378</v>
      </c>
      <c r="C190" s="168"/>
      <c r="D190" s="199">
        <f t="shared" ref="D190:AZ190" si="30">D188+D189</f>
        <v>-15800</v>
      </c>
      <c r="E190" s="199">
        <f t="shared" si="30"/>
        <v>0</v>
      </c>
      <c r="F190" s="199">
        <f t="shared" si="30"/>
        <v>0</v>
      </c>
      <c r="G190" s="199">
        <f t="shared" si="30"/>
        <v>0</v>
      </c>
      <c r="H190" s="199">
        <f t="shared" si="30"/>
        <v>0</v>
      </c>
      <c r="I190" s="199">
        <f t="shared" si="30"/>
        <v>0</v>
      </c>
      <c r="J190" s="199">
        <f t="shared" si="30"/>
        <v>0</v>
      </c>
      <c r="K190" s="199">
        <f t="shared" si="30"/>
        <v>0</v>
      </c>
      <c r="L190" s="199">
        <f t="shared" si="30"/>
        <v>0</v>
      </c>
      <c r="M190" s="199">
        <f t="shared" si="30"/>
        <v>0</v>
      </c>
      <c r="N190" s="199">
        <f t="shared" si="30"/>
        <v>0</v>
      </c>
      <c r="O190" s="199">
        <f t="shared" si="30"/>
        <v>0</v>
      </c>
      <c r="P190" s="199">
        <f t="shared" si="30"/>
        <v>0</v>
      </c>
      <c r="Q190" s="199">
        <f t="shared" si="30"/>
        <v>0</v>
      </c>
      <c r="R190" s="199">
        <f t="shared" si="30"/>
        <v>0</v>
      </c>
      <c r="S190" s="199">
        <f t="shared" si="30"/>
        <v>0</v>
      </c>
      <c r="T190" s="199">
        <f t="shared" si="30"/>
        <v>0</v>
      </c>
      <c r="U190" s="199">
        <f t="shared" si="30"/>
        <v>0</v>
      </c>
      <c r="V190" s="199">
        <f t="shared" si="30"/>
        <v>0</v>
      </c>
      <c r="W190" s="199">
        <f t="shared" si="30"/>
        <v>0</v>
      </c>
      <c r="X190" s="199">
        <f t="shared" si="30"/>
        <v>0</v>
      </c>
      <c r="Y190" s="199">
        <f t="shared" si="30"/>
        <v>0</v>
      </c>
      <c r="Z190" s="199">
        <f t="shared" si="30"/>
        <v>0</v>
      </c>
      <c r="AA190" s="199">
        <f t="shared" si="30"/>
        <v>0</v>
      </c>
      <c r="AB190" s="199">
        <f t="shared" si="30"/>
        <v>0</v>
      </c>
      <c r="AC190" s="199">
        <f t="shared" si="30"/>
        <v>0</v>
      </c>
      <c r="AD190" s="199">
        <f t="shared" si="30"/>
        <v>0</v>
      </c>
      <c r="AE190" s="199">
        <f t="shared" si="30"/>
        <v>0</v>
      </c>
      <c r="AF190" s="199">
        <f t="shared" si="30"/>
        <v>0</v>
      </c>
      <c r="AG190" s="199">
        <f t="shared" si="30"/>
        <v>0</v>
      </c>
      <c r="AH190" s="199">
        <f t="shared" si="30"/>
        <v>0</v>
      </c>
      <c r="AI190" s="199">
        <f t="shared" si="30"/>
        <v>0</v>
      </c>
      <c r="AJ190" s="199">
        <f t="shared" si="30"/>
        <v>0</v>
      </c>
      <c r="AK190" s="199">
        <f t="shared" si="30"/>
        <v>0</v>
      </c>
      <c r="AL190" s="199">
        <f t="shared" si="30"/>
        <v>0</v>
      </c>
      <c r="AM190" s="199">
        <f t="shared" si="30"/>
        <v>0</v>
      </c>
      <c r="AN190" s="199">
        <f t="shared" si="30"/>
        <v>0</v>
      </c>
      <c r="AO190" s="199">
        <f t="shared" si="30"/>
        <v>0</v>
      </c>
      <c r="AP190" s="199">
        <f t="shared" si="30"/>
        <v>0</v>
      </c>
      <c r="AQ190" s="199">
        <f t="shared" si="30"/>
        <v>0</v>
      </c>
      <c r="AR190" s="199">
        <f t="shared" si="30"/>
        <v>0</v>
      </c>
      <c r="AS190" s="199">
        <f t="shared" si="30"/>
        <v>0</v>
      </c>
      <c r="AT190" s="199">
        <f t="shared" si="30"/>
        <v>0</v>
      </c>
      <c r="AU190" s="199">
        <f t="shared" si="30"/>
        <v>0</v>
      </c>
      <c r="AV190" s="199">
        <f t="shared" si="30"/>
        <v>0</v>
      </c>
      <c r="AW190" s="199">
        <f t="shared" si="30"/>
        <v>0</v>
      </c>
      <c r="AX190" s="199">
        <f t="shared" si="30"/>
        <v>0</v>
      </c>
      <c r="AY190" s="199">
        <f t="shared" si="30"/>
        <v>0</v>
      </c>
      <c r="AZ190" s="199">
        <f t="shared" si="30"/>
        <v>0</v>
      </c>
    </row>
    <row r="191">
      <c r="A191" s="252"/>
      <c r="B191" s="242" t="s">
        <v>379</v>
      </c>
      <c r="C191" s="168"/>
      <c r="D191" s="199">
        <f>D190</f>
        <v>-15800</v>
      </c>
      <c r="E191" s="199">
        <f t="shared" ref="E191:AZ191" si="31">E190+D191</f>
        <v>-15800</v>
      </c>
      <c r="F191" s="199">
        <f t="shared" si="31"/>
        <v>-15800</v>
      </c>
      <c r="G191" s="199">
        <f t="shared" si="31"/>
        <v>-15800</v>
      </c>
      <c r="H191" s="199">
        <f t="shared" si="31"/>
        <v>-15800</v>
      </c>
      <c r="I191" s="199">
        <f t="shared" si="31"/>
        <v>-15800</v>
      </c>
      <c r="J191" s="199">
        <f t="shared" si="31"/>
        <v>-15800</v>
      </c>
      <c r="K191" s="199">
        <f t="shared" si="31"/>
        <v>-15800</v>
      </c>
      <c r="L191" s="199">
        <f t="shared" si="31"/>
        <v>-15800</v>
      </c>
      <c r="M191" s="199">
        <f t="shared" si="31"/>
        <v>-15800</v>
      </c>
      <c r="N191" s="199">
        <f t="shared" si="31"/>
        <v>-15800</v>
      </c>
      <c r="O191" s="199">
        <f t="shared" si="31"/>
        <v>-15800</v>
      </c>
      <c r="P191" s="199">
        <f t="shared" si="31"/>
        <v>-15800</v>
      </c>
      <c r="Q191" s="199">
        <f t="shared" si="31"/>
        <v>-15800</v>
      </c>
      <c r="R191" s="199">
        <f t="shared" si="31"/>
        <v>-15800</v>
      </c>
      <c r="S191" s="199">
        <f t="shared" si="31"/>
        <v>-15800</v>
      </c>
      <c r="T191" s="199">
        <f t="shared" si="31"/>
        <v>-15800</v>
      </c>
      <c r="U191" s="199">
        <f t="shared" si="31"/>
        <v>-15800</v>
      </c>
      <c r="V191" s="199">
        <f t="shared" si="31"/>
        <v>-15800</v>
      </c>
      <c r="W191" s="199">
        <f t="shared" si="31"/>
        <v>-15800</v>
      </c>
      <c r="X191" s="199">
        <f t="shared" si="31"/>
        <v>-15800</v>
      </c>
      <c r="Y191" s="199">
        <f t="shared" si="31"/>
        <v>-15800</v>
      </c>
      <c r="Z191" s="199">
        <f t="shared" si="31"/>
        <v>-15800</v>
      </c>
      <c r="AA191" s="199">
        <f t="shared" si="31"/>
        <v>-15800</v>
      </c>
      <c r="AB191" s="199">
        <f t="shared" si="31"/>
        <v>-15800</v>
      </c>
      <c r="AC191" s="199">
        <f t="shared" si="31"/>
        <v>-15800</v>
      </c>
      <c r="AD191" s="199">
        <f t="shared" si="31"/>
        <v>-15800</v>
      </c>
      <c r="AE191" s="199">
        <f t="shared" si="31"/>
        <v>-15800</v>
      </c>
      <c r="AF191" s="199">
        <f t="shared" si="31"/>
        <v>-15800</v>
      </c>
      <c r="AG191" s="199">
        <f t="shared" si="31"/>
        <v>-15800</v>
      </c>
      <c r="AH191" s="199">
        <f t="shared" si="31"/>
        <v>-15800</v>
      </c>
      <c r="AI191" s="199">
        <f t="shared" si="31"/>
        <v>-15800</v>
      </c>
      <c r="AJ191" s="199">
        <f t="shared" si="31"/>
        <v>-15800</v>
      </c>
      <c r="AK191" s="199">
        <f t="shared" si="31"/>
        <v>-15800</v>
      </c>
      <c r="AL191" s="199">
        <f t="shared" si="31"/>
        <v>-15800</v>
      </c>
      <c r="AM191" s="199">
        <f t="shared" si="31"/>
        <v>-15800</v>
      </c>
      <c r="AN191" s="199">
        <f t="shared" si="31"/>
        <v>-15800</v>
      </c>
      <c r="AO191" s="199">
        <f t="shared" si="31"/>
        <v>-15800</v>
      </c>
      <c r="AP191" s="199">
        <f t="shared" si="31"/>
        <v>-15800</v>
      </c>
      <c r="AQ191" s="199">
        <f t="shared" si="31"/>
        <v>-15800</v>
      </c>
      <c r="AR191" s="199">
        <f t="shared" si="31"/>
        <v>-15800</v>
      </c>
      <c r="AS191" s="199">
        <f t="shared" si="31"/>
        <v>-15800</v>
      </c>
      <c r="AT191" s="199">
        <f t="shared" si="31"/>
        <v>-15800</v>
      </c>
      <c r="AU191" s="199">
        <f t="shared" si="31"/>
        <v>-15800</v>
      </c>
      <c r="AV191" s="199">
        <f t="shared" si="31"/>
        <v>-15800</v>
      </c>
      <c r="AW191" s="199">
        <f t="shared" si="31"/>
        <v>-15800</v>
      </c>
      <c r="AX191" s="199">
        <f t="shared" si="31"/>
        <v>-15800</v>
      </c>
      <c r="AY191" s="199">
        <f t="shared" si="31"/>
        <v>-15800</v>
      </c>
      <c r="AZ191" s="199">
        <f t="shared" si="31"/>
        <v>-15800</v>
      </c>
    </row>
    <row r="192">
      <c r="A192" s="252"/>
      <c r="B192" s="253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  <c r="AT192" s="168"/>
      <c r="AU192" s="168"/>
      <c r="AV192" s="168"/>
      <c r="AW192" s="168"/>
      <c r="AX192" s="168"/>
      <c r="AY192" s="168"/>
      <c r="AZ192" s="168"/>
    </row>
    <row r="193">
      <c r="A193" s="252"/>
      <c r="B193" s="253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  <c r="AT193" s="168"/>
      <c r="AU193" s="168"/>
      <c r="AV193" s="168"/>
      <c r="AW193" s="168"/>
      <c r="AX193" s="168"/>
      <c r="AY193" s="168"/>
      <c r="AZ193" s="168"/>
    </row>
    <row r="194">
      <c r="A194" s="252"/>
      <c r="B194" s="139" t="s">
        <v>309</v>
      </c>
      <c r="C194" s="168"/>
      <c r="D194" s="209"/>
      <c r="E194" s="209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/>
    </row>
    <row r="195">
      <c r="A195" s="252"/>
      <c r="B195" s="168"/>
      <c r="C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  <c r="AT195" s="168"/>
      <c r="AU195" s="168"/>
      <c r="AV195" s="168"/>
      <c r="AW195" s="168"/>
      <c r="AX195" s="168"/>
      <c r="AY195" s="168"/>
      <c r="AZ195" s="168"/>
    </row>
    <row r="196">
      <c r="A196" s="252"/>
      <c r="B196" s="161" t="s">
        <v>309</v>
      </c>
      <c r="C196" s="162" t="str">
        <f>"1 year ("&amp;(Year(today())+1)&amp;")"</f>
        <v>1 year (2026)</v>
      </c>
      <c r="D196" s="162" t="str">
        <f>"5 years ("&amp;(Year(today())+5)&amp;")"</f>
        <v>5 years (2030)</v>
      </c>
      <c r="E196" s="162" t="str">
        <f>"10 years ("&amp;(Year(today())+10)&amp;")"</f>
        <v>10 years (2035)</v>
      </c>
      <c r="F196" s="162" t="str">
        <f>"20 years ("&amp;(Year(today())+20)&amp;")"</f>
        <v>20 years (2045)</v>
      </c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  <c r="AT196" s="168"/>
      <c r="AU196" s="168"/>
      <c r="AV196" s="168"/>
      <c r="AW196" s="168"/>
      <c r="AX196" s="168"/>
      <c r="AY196" s="168"/>
      <c r="AZ196" s="168"/>
    </row>
    <row r="197">
      <c r="A197" s="252"/>
      <c r="B197" s="243" t="s">
        <v>371</v>
      </c>
      <c r="C197" s="164">
        <f>E191</f>
        <v>-15800</v>
      </c>
      <c r="D197" s="164">
        <f>I191</f>
        <v>-15800</v>
      </c>
      <c r="E197" s="164">
        <f>N191</f>
        <v>-15800</v>
      </c>
      <c r="F197" s="164">
        <f>X191</f>
        <v>-15800</v>
      </c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  <c r="AT197" s="168"/>
      <c r="AU197" s="168"/>
      <c r="AV197" s="168"/>
      <c r="AW197" s="168"/>
      <c r="AX197" s="168"/>
      <c r="AY197" s="168"/>
      <c r="AZ197" s="168"/>
    </row>
    <row r="198">
      <c r="A198" s="252"/>
      <c r="B198" s="244" t="s">
        <v>251</v>
      </c>
      <c r="C198" s="245">
        <f>C197/dn_nw_1y</f>
        <v>0.1771659482</v>
      </c>
      <c r="D198" s="245">
        <f>D197/dn_nw_5y</f>
        <v>-0.0563246301</v>
      </c>
      <c r="E198" s="245">
        <f>E197/dn_nw_10y</f>
        <v>-0.02011917645</v>
      </c>
      <c r="F198" s="245">
        <f>F197/dn_nw_20y</f>
        <v>-0.0048645634</v>
      </c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  <c r="AT198" s="168"/>
      <c r="AU198" s="168"/>
      <c r="AV198" s="168"/>
      <c r="AW198" s="168"/>
      <c r="AX198" s="168"/>
      <c r="AY198" s="168"/>
      <c r="AZ198" s="168"/>
    </row>
    <row r="199">
      <c r="A199" s="252"/>
      <c r="B199" s="168"/>
      <c r="C199" s="21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/>
    </row>
    <row r="200">
      <c r="A200" s="252"/>
      <c r="B200" s="168"/>
      <c r="C200" s="222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/>
      <c r="AU200" s="168"/>
      <c r="AV200" s="168"/>
      <c r="AW200" s="168"/>
      <c r="AX200" s="168"/>
      <c r="AY200" s="168"/>
      <c r="AZ200" s="168"/>
    </row>
    <row r="201">
      <c r="A201" s="252"/>
      <c r="B201" s="253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  <c r="AT201" s="168"/>
      <c r="AU201" s="168"/>
      <c r="AV201" s="168"/>
      <c r="AW201" s="168"/>
      <c r="AX201" s="168"/>
      <c r="AY201" s="168"/>
      <c r="AZ201" s="168"/>
    </row>
    <row r="202">
      <c r="A202" s="252"/>
      <c r="B202" s="253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  <c r="AT202" s="168"/>
      <c r="AU202" s="168"/>
      <c r="AV202" s="168"/>
      <c r="AW202" s="168"/>
      <c r="AX202" s="168"/>
      <c r="AY202" s="168"/>
      <c r="AZ202" s="168"/>
    </row>
    <row r="203">
      <c r="A203" s="252"/>
      <c r="B203" s="253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  <c r="AT203" s="168"/>
      <c r="AU203" s="168"/>
      <c r="AV203" s="168"/>
      <c r="AW203" s="168"/>
      <c r="AX203" s="168"/>
      <c r="AY203" s="168"/>
      <c r="AZ203" s="168"/>
    </row>
    <row r="204">
      <c r="B204" s="167" t="s">
        <v>380</v>
      </c>
      <c r="C204" s="167"/>
      <c r="H204" s="168"/>
      <c r="I204" s="168"/>
      <c r="J204" s="168"/>
    </row>
    <row r="205">
      <c r="B205" s="168"/>
      <c r="C205" s="168"/>
      <c r="H205" s="168"/>
      <c r="I205" s="168"/>
      <c r="J205" s="168"/>
    </row>
    <row r="206">
      <c r="B206" s="169"/>
      <c r="C206" s="224"/>
    </row>
    <row r="207">
      <c r="B207" s="168"/>
      <c r="C207" s="168"/>
    </row>
    <row r="208">
      <c r="A208" s="223">
        <v>3.0</v>
      </c>
      <c r="B208" s="167" t="s">
        <v>313</v>
      </c>
    </row>
    <row r="209">
      <c r="B209" s="168"/>
      <c r="C209" s="168"/>
    </row>
    <row r="210">
      <c r="B210" s="172" t="s">
        <v>314</v>
      </c>
      <c r="C210" s="173" t="s">
        <v>315</v>
      </c>
    </row>
    <row r="211">
      <c r="B211" s="172" t="s">
        <v>316</v>
      </c>
      <c r="C211" s="225" t="s">
        <v>317</v>
      </c>
    </row>
    <row r="212">
      <c r="B212" s="172" t="s">
        <v>318</v>
      </c>
      <c r="C212" s="225" t="s">
        <v>317</v>
      </c>
    </row>
    <row r="213">
      <c r="B213" s="172" t="s">
        <v>353</v>
      </c>
      <c r="C213" s="225" t="s">
        <v>319</v>
      </c>
    </row>
    <row r="214">
      <c r="C214" s="168"/>
    </row>
    <row r="215">
      <c r="B215" s="126" t="s">
        <v>373</v>
      </c>
      <c r="C215" s="168"/>
    </row>
    <row r="216">
      <c r="B216" s="226" t="s">
        <v>322</v>
      </c>
      <c r="C216" s="246">
        <f t="array" ref="C216">INDEX('Input Data'!E$11:E$13, A208)-INDEX('Input Data'!I11:I13, A208)</f>
        <v>50000</v>
      </c>
    </row>
    <row r="217">
      <c r="B217" s="226" t="s">
        <v>361</v>
      </c>
      <c r="C217" s="254">
        <f>C216/12</f>
        <v>4166.666667</v>
      </c>
    </row>
    <row r="218">
      <c r="B218" s="226" t="s">
        <v>146</v>
      </c>
      <c r="C218" s="247">
        <f t="array" ref="C218">INDEX('Input Data'!G$11:G$13, A208)</f>
        <v>36</v>
      </c>
      <c r="D218" s="248" t="str">
        <f t="array" ref="D218">INDEX('Input Data'!H$11:H$13, A208)</f>
        <v>Years</v>
      </c>
    </row>
    <row r="219">
      <c r="B219" s="226" t="s">
        <v>381</v>
      </c>
      <c r="C219" s="255">
        <v>0.03</v>
      </c>
    </row>
    <row r="220">
      <c r="B220" s="226" t="s">
        <v>382</v>
      </c>
      <c r="C220" s="256">
        <f>'Input Data'!B2+70</f>
        <v>2061</v>
      </c>
    </row>
    <row r="221">
      <c r="B221" s="226" t="s">
        <v>383</v>
      </c>
      <c r="C221" s="257">
        <f>'Input Data'!B2+100</f>
        <v>2091</v>
      </c>
    </row>
    <row r="222">
      <c r="B222" s="226" t="s">
        <v>384</v>
      </c>
      <c r="C222" s="250">
        <f>PV(C219/12, (C221-C220)*12, -C216/12, 0, 1)</f>
        <v>990759.8123</v>
      </c>
    </row>
    <row r="223">
      <c r="B223" s="226" t="s">
        <v>385</v>
      </c>
      <c r="C223" s="250">
        <f>-PMT(C219/12,C218*12,0,C222,)</f>
        <v>1276.282926</v>
      </c>
    </row>
    <row r="225">
      <c r="B225" s="168"/>
      <c r="C225" s="168"/>
      <c r="D225" s="85" t="s">
        <v>285</v>
      </c>
      <c r="E225" s="193">
        <v>46143.0</v>
      </c>
      <c r="F225" s="193">
        <v>46508.0</v>
      </c>
      <c r="G225" s="193">
        <v>46874.0</v>
      </c>
      <c r="H225" s="193">
        <v>47239.0</v>
      </c>
      <c r="I225" s="193">
        <v>47604.0</v>
      </c>
      <c r="J225" s="193">
        <v>47969.0</v>
      </c>
      <c r="K225" s="193">
        <v>48335.0</v>
      </c>
      <c r="L225" s="193">
        <v>48700.0</v>
      </c>
      <c r="M225" s="193">
        <v>49065.0</v>
      </c>
      <c r="N225" s="193">
        <v>49430.0</v>
      </c>
      <c r="O225" s="193">
        <v>49796.0</v>
      </c>
      <c r="P225" s="193">
        <v>50161.0</v>
      </c>
      <c r="Q225" s="193">
        <v>50526.0</v>
      </c>
      <c r="R225" s="193">
        <v>50891.0</v>
      </c>
      <c r="S225" s="193">
        <v>51257.0</v>
      </c>
      <c r="T225" s="193">
        <v>51622.0</v>
      </c>
      <c r="U225" s="193">
        <v>51987.0</v>
      </c>
      <c r="V225" s="193">
        <v>52352.0</v>
      </c>
      <c r="W225" s="193">
        <v>52718.0</v>
      </c>
      <c r="X225" s="193">
        <v>53083.0</v>
      </c>
      <c r="Y225" s="193">
        <v>53448.0</v>
      </c>
      <c r="Z225" s="193">
        <v>53813.0</v>
      </c>
      <c r="AA225" s="193">
        <v>54179.0</v>
      </c>
      <c r="AB225" s="193">
        <v>54544.0</v>
      </c>
      <c r="AC225" s="193">
        <v>54909.0</v>
      </c>
      <c r="AD225" s="193">
        <v>55274.0</v>
      </c>
      <c r="AE225" s="193">
        <v>55640.0</v>
      </c>
      <c r="AF225" s="193">
        <v>56005.0</v>
      </c>
      <c r="AG225" s="193">
        <v>56370.0</v>
      </c>
      <c r="AH225" s="193">
        <v>56735.0</v>
      </c>
      <c r="AI225" s="193">
        <v>57101.0</v>
      </c>
      <c r="AJ225" s="193">
        <v>57466.0</v>
      </c>
      <c r="AK225" s="193">
        <v>57831.0</v>
      </c>
      <c r="AL225" s="193">
        <v>58196.0</v>
      </c>
      <c r="AM225" s="193">
        <v>58562.0</v>
      </c>
      <c r="AN225" s="193">
        <v>58927.0</v>
      </c>
      <c r="AO225" s="193">
        <v>59292.0</v>
      </c>
      <c r="AP225" s="193">
        <v>59657.0</v>
      </c>
      <c r="AQ225" s="193">
        <v>60023.0</v>
      </c>
      <c r="AR225" s="193">
        <v>60388.0</v>
      </c>
      <c r="AS225" s="193">
        <v>60753.0</v>
      </c>
      <c r="AT225" s="193">
        <v>61118.0</v>
      </c>
      <c r="AU225" s="193">
        <v>61484.0</v>
      </c>
      <c r="AV225" s="193">
        <v>61849.0</v>
      </c>
      <c r="AW225" s="193">
        <v>62214.0</v>
      </c>
      <c r="AX225" s="193">
        <v>62579.0</v>
      </c>
      <c r="AY225" s="193">
        <v>62945.0</v>
      </c>
      <c r="AZ225" s="193">
        <v>63310.0</v>
      </c>
    </row>
    <row r="226">
      <c r="B226" s="242" t="s">
        <v>386</v>
      </c>
      <c r="C226" s="168"/>
      <c r="D226" s="236">
        <f t="shared" ref="D226:AZ226" si="32">if(Value(Right(D225,4))&lt;$C220,$C$223*12,0)</f>
        <v>15315.39512</v>
      </c>
      <c r="E226" s="236">
        <f t="shared" si="32"/>
        <v>15315.39512</v>
      </c>
      <c r="F226" s="236">
        <f t="shared" si="32"/>
        <v>15315.39512</v>
      </c>
      <c r="G226" s="236">
        <f t="shared" si="32"/>
        <v>15315.39512</v>
      </c>
      <c r="H226" s="236">
        <f t="shared" si="32"/>
        <v>15315.39512</v>
      </c>
      <c r="I226" s="236">
        <f t="shared" si="32"/>
        <v>15315.39512</v>
      </c>
      <c r="J226" s="236">
        <f t="shared" si="32"/>
        <v>15315.39512</v>
      </c>
      <c r="K226" s="236">
        <f t="shared" si="32"/>
        <v>15315.39512</v>
      </c>
      <c r="L226" s="236">
        <f t="shared" si="32"/>
        <v>15315.39512</v>
      </c>
      <c r="M226" s="236">
        <f t="shared" si="32"/>
        <v>15315.39512</v>
      </c>
      <c r="N226" s="236">
        <f t="shared" si="32"/>
        <v>15315.39512</v>
      </c>
      <c r="O226" s="236">
        <f t="shared" si="32"/>
        <v>15315.39512</v>
      </c>
      <c r="P226" s="236">
        <f t="shared" si="32"/>
        <v>15315.39512</v>
      </c>
      <c r="Q226" s="236">
        <f t="shared" si="32"/>
        <v>15315.39512</v>
      </c>
      <c r="R226" s="236">
        <f t="shared" si="32"/>
        <v>15315.39512</v>
      </c>
      <c r="S226" s="236">
        <f t="shared" si="32"/>
        <v>15315.39512</v>
      </c>
      <c r="T226" s="236">
        <f t="shared" si="32"/>
        <v>15315.39512</v>
      </c>
      <c r="U226" s="236">
        <f t="shared" si="32"/>
        <v>15315.39512</v>
      </c>
      <c r="V226" s="236">
        <f t="shared" si="32"/>
        <v>15315.39512</v>
      </c>
      <c r="W226" s="236">
        <f t="shared" si="32"/>
        <v>15315.39512</v>
      </c>
      <c r="X226" s="236">
        <f t="shared" si="32"/>
        <v>15315.39512</v>
      </c>
      <c r="Y226" s="236">
        <f t="shared" si="32"/>
        <v>15315.39512</v>
      </c>
      <c r="Z226" s="236">
        <f t="shared" si="32"/>
        <v>15315.39512</v>
      </c>
      <c r="AA226" s="236">
        <f t="shared" si="32"/>
        <v>15315.39512</v>
      </c>
      <c r="AB226" s="236">
        <f t="shared" si="32"/>
        <v>15315.39512</v>
      </c>
      <c r="AC226" s="236">
        <f t="shared" si="32"/>
        <v>15315.39512</v>
      </c>
      <c r="AD226" s="236">
        <f t="shared" si="32"/>
        <v>15315.39512</v>
      </c>
      <c r="AE226" s="236">
        <f t="shared" si="32"/>
        <v>15315.39512</v>
      </c>
      <c r="AF226" s="236">
        <f t="shared" si="32"/>
        <v>15315.39512</v>
      </c>
      <c r="AG226" s="236">
        <f t="shared" si="32"/>
        <v>15315.39512</v>
      </c>
      <c r="AH226" s="236">
        <f t="shared" si="32"/>
        <v>15315.39512</v>
      </c>
      <c r="AI226" s="236">
        <f t="shared" si="32"/>
        <v>15315.39512</v>
      </c>
      <c r="AJ226" s="236">
        <f t="shared" si="32"/>
        <v>15315.39512</v>
      </c>
      <c r="AK226" s="236">
        <f t="shared" si="32"/>
        <v>15315.39512</v>
      </c>
      <c r="AL226" s="236">
        <f t="shared" si="32"/>
        <v>15315.39512</v>
      </c>
      <c r="AM226" s="236">
        <f t="shared" si="32"/>
        <v>15315.39512</v>
      </c>
      <c r="AN226" s="236">
        <f t="shared" si="32"/>
        <v>0</v>
      </c>
      <c r="AO226" s="236">
        <f t="shared" si="32"/>
        <v>0</v>
      </c>
      <c r="AP226" s="236">
        <f t="shared" si="32"/>
        <v>0</v>
      </c>
      <c r="AQ226" s="236">
        <f t="shared" si="32"/>
        <v>0</v>
      </c>
      <c r="AR226" s="236">
        <f t="shared" si="32"/>
        <v>0</v>
      </c>
      <c r="AS226" s="236">
        <f t="shared" si="32"/>
        <v>0</v>
      </c>
      <c r="AT226" s="236">
        <f t="shared" si="32"/>
        <v>0</v>
      </c>
      <c r="AU226" s="236">
        <f t="shared" si="32"/>
        <v>0</v>
      </c>
      <c r="AV226" s="236">
        <f t="shared" si="32"/>
        <v>0</v>
      </c>
      <c r="AW226" s="236">
        <f t="shared" si="32"/>
        <v>0</v>
      </c>
      <c r="AX226" s="236">
        <f t="shared" si="32"/>
        <v>0</v>
      </c>
      <c r="AY226" s="236">
        <f t="shared" si="32"/>
        <v>0</v>
      </c>
      <c r="AZ226" s="236">
        <f t="shared" si="32"/>
        <v>0</v>
      </c>
    </row>
    <row r="227">
      <c r="B227" s="242" t="s">
        <v>387</v>
      </c>
      <c r="C227" s="168"/>
      <c r="D227" s="196">
        <f t="shared" ref="D227:AZ227" si="33">if(Value(Right(D225,4))&gt;=$C220,-12*PMT($C219/12,12*($C221-$C220),$C222,0,1),0)</f>
        <v>0</v>
      </c>
      <c r="E227" s="196">
        <f t="shared" si="33"/>
        <v>0</v>
      </c>
      <c r="F227" s="196">
        <f t="shared" si="33"/>
        <v>0</v>
      </c>
      <c r="G227" s="196">
        <f t="shared" si="33"/>
        <v>0</v>
      </c>
      <c r="H227" s="196">
        <f t="shared" si="33"/>
        <v>0</v>
      </c>
      <c r="I227" s="196">
        <f t="shared" si="33"/>
        <v>0</v>
      </c>
      <c r="J227" s="196">
        <f t="shared" si="33"/>
        <v>0</v>
      </c>
      <c r="K227" s="196">
        <f t="shared" si="33"/>
        <v>0</v>
      </c>
      <c r="L227" s="196">
        <f t="shared" si="33"/>
        <v>0</v>
      </c>
      <c r="M227" s="196">
        <f t="shared" si="33"/>
        <v>0</v>
      </c>
      <c r="N227" s="196">
        <f t="shared" si="33"/>
        <v>0</v>
      </c>
      <c r="O227" s="196">
        <f t="shared" si="33"/>
        <v>0</v>
      </c>
      <c r="P227" s="196">
        <f t="shared" si="33"/>
        <v>0</v>
      </c>
      <c r="Q227" s="196">
        <f t="shared" si="33"/>
        <v>0</v>
      </c>
      <c r="R227" s="196">
        <f t="shared" si="33"/>
        <v>0</v>
      </c>
      <c r="S227" s="196">
        <f t="shared" si="33"/>
        <v>0</v>
      </c>
      <c r="T227" s="196">
        <f t="shared" si="33"/>
        <v>0</v>
      </c>
      <c r="U227" s="196">
        <f t="shared" si="33"/>
        <v>0</v>
      </c>
      <c r="V227" s="196">
        <f t="shared" si="33"/>
        <v>0</v>
      </c>
      <c r="W227" s="196">
        <f t="shared" si="33"/>
        <v>0</v>
      </c>
      <c r="X227" s="196">
        <f t="shared" si="33"/>
        <v>0</v>
      </c>
      <c r="Y227" s="196">
        <f t="shared" si="33"/>
        <v>0</v>
      </c>
      <c r="Z227" s="196">
        <f t="shared" si="33"/>
        <v>0</v>
      </c>
      <c r="AA227" s="196">
        <f t="shared" si="33"/>
        <v>0</v>
      </c>
      <c r="AB227" s="196">
        <f t="shared" si="33"/>
        <v>0</v>
      </c>
      <c r="AC227" s="196">
        <f t="shared" si="33"/>
        <v>0</v>
      </c>
      <c r="AD227" s="196">
        <f t="shared" si="33"/>
        <v>0</v>
      </c>
      <c r="AE227" s="196">
        <f t="shared" si="33"/>
        <v>0</v>
      </c>
      <c r="AF227" s="196">
        <f t="shared" si="33"/>
        <v>0</v>
      </c>
      <c r="AG227" s="196">
        <f t="shared" si="33"/>
        <v>0</v>
      </c>
      <c r="AH227" s="196">
        <f t="shared" si="33"/>
        <v>0</v>
      </c>
      <c r="AI227" s="196">
        <f t="shared" si="33"/>
        <v>0</v>
      </c>
      <c r="AJ227" s="196">
        <f t="shared" si="33"/>
        <v>0</v>
      </c>
      <c r="AK227" s="196">
        <f t="shared" si="33"/>
        <v>0</v>
      </c>
      <c r="AL227" s="196">
        <f t="shared" si="33"/>
        <v>0</v>
      </c>
      <c r="AM227" s="196">
        <f t="shared" si="33"/>
        <v>0</v>
      </c>
      <c r="AN227" s="196">
        <f t="shared" si="33"/>
        <v>50000</v>
      </c>
      <c r="AO227" s="196">
        <f t="shared" si="33"/>
        <v>50000</v>
      </c>
      <c r="AP227" s="196">
        <f t="shared" si="33"/>
        <v>50000</v>
      </c>
      <c r="AQ227" s="196">
        <f t="shared" si="33"/>
        <v>50000</v>
      </c>
      <c r="AR227" s="196">
        <f t="shared" si="33"/>
        <v>50000</v>
      </c>
      <c r="AS227" s="196">
        <f t="shared" si="33"/>
        <v>50000</v>
      </c>
      <c r="AT227" s="196">
        <f t="shared" si="33"/>
        <v>50000</v>
      </c>
      <c r="AU227" s="196">
        <f t="shared" si="33"/>
        <v>50000</v>
      </c>
      <c r="AV227" s="196">
        <f t="shared" si="33"/>
        <v>50000</v>
      </c>
      <c r="AW227" s="196">
        <f t="shared" si="33"/>
        <v>50000</v>
      </c>
      <c r="AX227" s="196">
        <f t="shared" si="33"/>
        <v>50000</v>
      </c>
      <c r="AY227" s="196">
        <f t="shared" si="33"/>
        <v>50000</v>
      </c>
      <c r="AZ227" s="196">
        <f t="shared" si="33"/>
        <v>50000</v>
      </c>
    </row>
    <row r="228">
      <c r="B228" s="242" t="s">
        <v>388</v>
      </c>
      <c r="C228" s="168"/>
      <c r="D228" s="196">
        <f>D226</f>
        <v>15315.39512</v>
      </c>
      <c r="E228" s="196">
        <f t="shared" ref="E228:AZ228" si="34">D228*(1+$C$219)+E226-E227</f>
        <v>31090.25209</v>
      </c>
      <c r="F228" s="196">
        <f t="shared" si="34"/>
        <v>47338.35477</v>
      </c>
      <c r="G228" s="196">
        <f t="shared" si="34"/>
        <v>64073.90053</v>
      </c>
      <c r="H228" s="196">
        <f t="shared" si="34"/>
        <v>81311.51266</v>
      </c>
      <c r="I228" s="196">
        <f t="shared" si="34"/>
        <v>99066.25316</v>
      </c>
      <c r="J228" s="196">
        <f t="shared" si="34"/>
        <v>117353.6359</v>
      </c>
      <c r="K228" s="196">
        <f t="shared" si="34"/>
        <v>136189.6401</v>
      </c>
      <c r="L228" s="196">
        <f t="shared" si="34"/>
        <v>155590.7244</v>
      </c>
      <c r="M228" s="196">
        <f t="shared" si="34"/>
        <v>175573.8412</v>
      </c>
      <c r="N228" s="196">
        <f t="shared" si="34"/>
        <v>196156.4516</v>
      </c>
      <c r="O228" s="196">
        <f t="shared" si="34"/>
        <v>217356.5403</v>
      </c>
      <c r="P228" s="196">
        <f t="shared" si="34"/>
        <v>239192.6316</v>
      </c>
      <c r="Q228" s="196">
        <f t="shared" si="34"/>
        <v>261683.8057</v>
      </c>
      <c r="R228" s="196">
        <f t="shared" si="34"/>
        <v>284849.7149</v>
      </c>
      <c r="S228" s="196">
        <f t="shared" si="34"/>
        <v>308710.6015</v>
      </c>
      <c r="T228" s="196">
        <f t="shared" si="34"/>
        <v>333287.3147</v>
      </c>
      <c r="U228" s="196">
        <f t="shared" si="34"/>
        <v>358601.3292</v>
      </c>
      <c r="V228" s="196">
        <f t="shared" si="34"/>
        <v>384674.7642</v>
      </c>
      <c r="W228" s="196">
        <f t="shared" si="34"/>
        <v>411530.4023</v>
      </c>
      <c r="X228" s="196">
        <f t="shared" si="34"/>
        <v>439191.7095</v>
      </c>
      <c r="Y228" s="196">
        <f t="shared" si="34"/>
        <v>467682.8559</v>
      </c>
      <c r="Z228" s="196">
        <f t="shared" si="34"/>
        <v>497028.7366</v>
      </c>
      <c r="AA228" s="196">
        <f t="shared" si="34"/>
        <v>527254.9939</v>
      </c>
      <c r="AB228" s="196">
        <f t="shared" si="34"/>
        <v>558388.0388</v>
      </c>
      <c r="AC228" s="196">
        <f t="shared" si="34"/>
        <v>590455.0751</v>
      </c>
      <c r="AD228" s="196">
        <f t="shared" si="34"/>
        <v>623484.1224</v>
      </c>
      <c r="AE228" s="196">
        <f t="shared" si="34"/>
        <v>657504.0412</v>
      </c>
      <c r="AF228" s="196">
        <f t="shared" si="34"/>
        <v>692544.5576</v>
      </c>
      <c r="AG228" s="196">
        <f t="shared" si="34"/>
        <v>728636.2894</v>
      </c>
      <c r="AH228" s="196">
        <f t="shared" si="34"/>
        <v>765810.7732</v>
      </c>
      <c r="AI228" s="196">
        <f t="shared" si="34"/>
        <v>804100.4916</v>
      </c>
      <c r="AJ228" s="196">
        <f t="shared" si="34"/>
        <v>843538.9014</v>
      </c>
      <c r="AK228" s="196">
        <f t="shared" si="34"/>
        <v>884160.4636</v>
      </c>
      <c r="AL228" s="196">
        <f t="shared" si="34"/>
        <v>926000.6726</v>
      </c>
      <c r="AM228" s="196">
        <f t="shared" si="34"/>
        <v>969096.0879</v>
      </c>
      <c r="AN228" s="196">
        <f t="shared" si="34"/>
        <v>948168.9705</v>
      </c>
      <c r="AO228" s="196">
        <f t="shared" si="34"/>
        <v>926614.0397</v>
      </c>
      <c r="AP228" s="196">
        <f t="shared" si="34"/>
        <v>904412.4608</v>
      </c>
      <c r="AQ228" s="196">
        <f t="shared" si="34"/>
        <v>881544.8347</v>
      </c>
      <c r="AR228" s="196">
        <f t="shared" si="34"/>
        <v>857991.1797</v>
      </c>
      <c r="AS228" s="196">
        <f t="shared" si="34"/>
        <v>833730.9151</v>
      </c>
      <c r="AT228" s="196">
        <f t="shared" si="34"/>
        <v>808742.8426</v>
      </c>
      <c r="AU228" s="196">
        <f t="shared" si="34"/>
        <v>783005.1278</v>
      </c>
      <c r="AV228" s="196">
        <f t="shared" si="34"/>
        <v>756495.2817</v>
      </c>
      <c r="AW228" s="196">
        <f t="shared" si="34"/>
        <v>729190.1401</v>
      </c>
      <c r="AX228" s="196">
        <f t="shared" si="34"/>
        <v>701065.8443</v>
      </c>
      <c r="AY228" s="196">
        <f t="shared" si="34"/>
        <v>672097.8197</v>
      </c>
      <c r="AZ228" s="196">
        <f t="shared" si="34"/>
        <v>642260.7542</v>
      </c>
    </row>
    <row r="229">
      <c r="B229" s="242" t="s">
        <v>378</v>
      </c>
      <c r="C229" s="168"/>
      <c r="D229" s="199">
        <f t="shared" ref="D229:AZ229" si="35">-D226+D227</f>
        <v>-15315.39512</v>
      </c>
      <c r="E229" s="199">
        <f t="shared" si="35"/>
        <v>-15315.39512</v>
      </c>
      <c r="F229" s="199">
        <f t="shared" si="35"/>
        <v>-15315.39512</v>
      </c>
      <c r="G229" s="199">
        <f t="shared" si="35"/>
        <v>-15315.39512</v>
      </c>
      <c r="H229" s="199">
        <f t="shared" si="35"/>
        <v>-15315.39512</v>
      </c>
      <c r="I229" s="199">
        <f t="shared" si="35"/>
        <v>-15315.39512</v>
      </c>
      <c r="J229" s="199">
        <f t="shared" si="35"/>
        <v>-15315.39512</v>
      </c>
      <c r="K229" s="199">
        <f t="shared" si="35"/>
        <v>-15315.39512</v>
      </c>
      <c r="L229" s="199">
        <f t="shared" si="35"/>
        <v>-15315.39512</v>
      </c>
      <c r="M229" s="199">
        <f t="shared" si="35"/>
        <v>-15315.39512</v>
      </c>
      <c r="N229" s="199">
        <f t="shared" si="35"/>
        <v>-15315.39512</v>
      </c>
      <c r="O229" s="199">
        <f t="shared" si="35"/>
        <v>-15315.39512</v>
      </c>
      <c r="P229" s="199">
        <f t="shared" si="35"/>
        <v>-15315.39512</v>
      </c>
      <c r="Q229" s="199">
        <f t="shared" si="35"/>
        <v>-15315.39512</v>
      </c>
      <c r="R229" s="199">
        <f t="shared" si="35"/>
        <v>-15315.39512</v>
      </c>
      <c r="S229" s="199">
        <f t="shared" si="35"/>
        <v>-15315.39512</v>
      </c>
      <c r="T229" s="199">
        <f t="shared" si="35"/>
        <v>-15315.39512</v>
      </c>
      <c r="U229" s="199">
        <f t="shared" si="35"/>
        <v>-15315.39512</v>
      </c>
      <c r="V229" s="199">
        <f t="shared" si="35"/>
        <v>-15315.39512</v>
      </c>
      <c r="W229" s="199">
        <f t="shared" si="35"/>
        <v>-15315.39512</v>
      </c>
      <c r="X229" s="199">
        <f t="shared" si="35"/>
        <v>-15315.39512</v>
      </c>
      <c r="Y229" s="199">
        <f t="shared" si="35"/>
        <v>-15315.39512</v>
      </c>
      <c r="Z229" s="199">
        <f t="shared" si="35"/>
        <v>-15315.39512</v>
      </c>
      <c r="AA229" s="199">
        <f t="shared" si="35"/>
        <v>-15315.39512</v>
      </c>
      <c r="AB229" s="199">
        <f t="shared" si="35"/>
        <v>-15315.39512</v>
      </c>
      <c r="AC229" s="199">
        <f t="shared" si="35"/>
        <v>-15315.39512</v>
      </c>
      <c r="AD229" s="199">
        <f t="shared" si="35"/>
        <v>-15315.39512</v>
      </c>
      <c r="AE229" s="199">
        <f t="shared" si="35"/>
        <v>-15315.39512</v>
      </c>
      <c r="AF229" s="199">
        <f t="shared" si="35"/>
        <v>-15315.39512</v>
      </c>
      <c r="AG229" s="199">
        <f t="shared" si="35"/>
        <v>-15315.39512</v>
      </c>
      <c r="AH229" s="199">
        <f t="shared" si="35"/>
        <v>-15315.39512</v>
      </c>
      <c r="AI229" s="199">
        <f t="shared" si="35"/>
        <v>-15315.39512</v>
      </c>
      <c r="AJ229" s="199">
        <f t="shared" si="35"/>
        <v>-15315.39512</v>
      </c>
      <c r="AK229" s="199">
        <f t="shared" si="35"/>
        <v>-15315.39512</v>
      </c>
      <c r="AL229" s="199">
        <f t="shared" si="35"/>
        <v>-15315.39512</v>
      </c>
      <c r="AM229" s="199">
        <f t="shared" si="35"/>
        <v>-15315.39512</v>
      </c>
      <c r="AN229" s="199">
        <f t="shared" si="35"/>
        <v>50000</v>
      </c>
      <c r="AO229" s="199">
        <f t="shared" si="35"/>
        <v>50000</v>
      </c>
      <c r="AP229" s="199">
        <f t="shared" si="35"/>
        <v>50000</v>
      </c>
      <c r="AQ229" s="199">
        <f t="shared" si="35"/>
        <v>50000</v>
      </c>
      <c r="AR229" s="199">
        <f t="shared" si="35"/>
        <v>50000</v>
      </c>
      <c r="AS229" s="199">
        <f t="shared" si="35"/>
        <v>50000</v>
      </c>
      <c r="AT229" s="199">
        <f t="shared" si="35"/>
        <v>50000</v>
      </c>
      <c r="AU229" s="199">
        <f t="shared" si="35"/>
        <v>50000</v>
      </c>
      <c r="AV229" s="199">
        <f t="shared" si="35"/>
        <v>50000</v>
      </c>
      <c r="AW229" s="199">
        <f t="shared" si="35"/>
        <v>50000</v>
      </c>
      <c r="AX229" s="199">
        <f t="shared" si="35"/>
        <v>50000</v>
      </c>
      <c r="AY229" s="199">
        <f t="shared" si="35"/>
        <v>50000</v>
      </c>
      <c r="AZ229" s="199">
        <f t="shared" si="35"/>
        <v>50000</v>
      </c>
    </row>
    <row r="230">
      <c r="A230" s="252"/>
      <c r="B230" s="242" t="s">
        <v>379</v>
      </c>
      <c r="C230" s="168"/>
      <c r="D230" s="199">
        <f>D229+D228</f>
        <v>0</v>
      </c>
      <c r="E230" s="199">
        <f t="shared" ref="E230:AZ230" si="36">E228+E229-E226</f>
        <v>459.4618535</v>
      </c>
      <c r="F230" s="199">
        <f t="shared" si="36"/>
        <v>16707.56453</v>
      </c>
      <c r="G230" s="199">
        <f t="shared" si="36"/>
        <v>33443.1103</v>
      </c>
      <c r="H230" s="199">
        <f t="shared" si="36"/>
        <v>50680.72243</v>
      </c>
      <c r="I230" s="199">
        <f t="shared" si="36"/>
        <v>68435.46293</v>
      </c>
      <c r="J230" s="199">
        <f t="shared" si="36"/>
        <v>86722.84564</v>
      </c>
      <c r="K230" s="199">
        <f t="shared" si="36"/>
        <v>105558.8498</v>
      </c>
      <c r="L230" s="199">
        <f t="shared" si="36"/>
        <v>124959.9342</v>
      </c>
      <c r="M230" s="199">
        <f t="shared" si="36"/>
        <v>144943.051</v>
      </c>
      <c r="N230" s="199">
        <f t="shared" si="36"/>
        <v>165525.6614</v>
      </c>
      <c r="O230" s="199">
        <f t="shared" si="36"/>
        <v>186725.75</v>
      </c>
      <c r="P230" s="199">
        <f t="shared" si="36"/>
        <v>208561.8413</v>
      </c>
      <c r="Q230" s="199">
        <f t="shared" si="36"/>
        <v>231053.0154</v>
      </c>
      <c r="R230" s="199">
        <f t="shared" si="36"/>
        <v>254218.9247</v>
      </c>
      <c r="S230" s="199">
        <f t="shared" si="36"/>
        <v>278079.8113</v>
      </c>
      <c r="T230" s="199">
        <f t="shared" si="36"/>
        <v>302656.5244</v>
      </c>
      <c r="U230" s="199">
        <f t="shared" si="36"/>
        <v>327970.539</v>
      </c>
      <c r="V230" s="199">
        <f t="shared" si="36"/>
        <v>354043.974</v>
      </c>
      <c r="W230" s="199">
        <f t="shared" si="36"/>
        <v>380899.612</v>
      </c>
      <c r="X230" s="199">
        <f t="shared" si="36"/>
        <v>408560.9192</v>
      </c>
      <c r="Y230" s="199">
        <f t="shared" si="36"/>
        <v>437052.0656</v>
      </c>
      <c r="Z230" s="199">
        <f t="shared" si="36"/>
        <v>466397.9464</v>
      </c>
      <c r="AA230" s="199">
        <f t="shared" si="36"/>
        <v>496624.2036</v>
      </c>
      <c r="AB230" s="199">
        <f t="shared" si="36"/>
        <v>527757.2486</v>
      </c>
      <c r="AC230" s="199">
        <f t="shared" si="36"/>
        <v>559824.2848</v>
      </c>
      <c r="AD230" s="199">
        <f t="shared" si="36"/>
        <v>592853.3322</v>
      </c>
      <c r="AE230" s="199">
        <f t="shared" si="36"/>
        <v>626873.251</v>
      </c>
      <c r="AF230" s="199">
        <f t="shared" si="36"/>
        <v>661913.7674</v>
      </c>
      <c r="AG230" s="199">
        <f t="shared" si="36"/>
        <v>698005.4992</v>
      </c>
      <c r="AH230" s="199">
        <f t="shared" si="36"/>
        <v>735179.983</v>
      </c>
      <c r="AI230" s="199">
        <f t="shared" si="36"/>
        <v>773469.7013</v>
      </c>
      <c r="AJ230" s="199">
        <f t="shared" si="36"/>
        <v>812908.1112</v>
      </c>
      <c r="AK230" s="199">
        <f t="shared" si="36"/>
        <v>853529.6733</v>
      </c>
      <c r="AL230" s="199">
        <f t="shared" si="36"/>
        <v>895369.8824</v>
      </c>
      <c r="AM230" s="199">
        <f t="shared" si="36"/>
        <v>938465.2977</v>
      </c>
      <c r="AN230" s="199">
        <f t="shared" si="36"/>
        <v>998168.9705</v>
      </c>
      <c r="AO230" s="199">
        <f t="shared" si="36"/>
        <v>976614.0397</v>
      </c>
      <c r="AP230" s="199">
        <f t="shared" si="36"/>
        <v>954412.4608</v>
      </c>
      <c r="AQ230" s="199">
        <f t="shared" si="36"/>
        <v>931544.8347</v>
      </c>
      <c r="AR230" s="199">
        <f t="shared" si="36"/>
        <v>907991.1797</v>
      </c>
      <c r="AS230" s="199">
        <f t="shared" si="36"/>
        <v>883730.9151</v>
      </c>
      <c r="AT230" s="199">
        <f t="shared" si="36"/>
        <v>858742.8426</v>
      </c>
      <c r="AU230" s="199">
        <f t="shared" si="36"/>
        <v>833005.1278</v>
      </c>
      <c r="AV230" s="199">
        <f t="shared" si="36"/>
        <v>806495.2817</v>
      </c>
      <c r="AW230" s="199">
        <f t="shared" si="36"/>
        <v>779190.1401</v>
      </c>
      <c r="AX230" s="199">
        <f t="shared" si="36"/>
        <v>751065.8443</v>
      </c>
      <c r="AY230" s="199">
        <f t="shared" si="36"/>
        <v>722097.8197</v>
      </c>
      <c r="AZ230" s="199">
        <f t="shared" si="36"/>
        <v>692260.7542</v>
      </c>
    </row>
    <row r="231">
      <c r="A231" s="252"/>
      <c r="B231" s="253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  <c r="AB231" s="168"/>
      <c r="AC231" s="168"/>
      <c r="AD231" s="168"/>
      <c r="AE231" s="168"/>
      <c r="AF231" s="168"/>
      <c r="AG231" s="168"/>
      <c r="AH231" s="168"/>
      <c r="AI231" s="168"/>
      <c r="AJ231" s="168"/>
      <c r="AK231" s="168"/>
      <c r="AL231" s="168"/>
      <c r="AM231" s="168"/>
      <c r="AN231" s="168"/>
      <c r="AO231" s="168"/>
      <c r="AP231" s="168"/>
      <c r="AQ231" s="168"/>
      <c r="AR231" s="168"/>
      <c r="AS231" s="168"/>
      <c r="AT231" s="168"/>
      <c r="AU231" s="168"/>
      <c r="AV231" s="168"/>
      <c r="AW231" s="168"/>
      <c r="AX231" s="168"/>
      <c r="AY231" s="168"/>
      <c r="AZ231" s="168"/>
    </row>
    <row r="232">
      <c r="A232" s="252"/>
      <c r="B232" s="253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  <c r="AB232" s="168"/>
      <c r="AC232" s="168"/>
      <c r="AD232" s="168"/>
      <c r="AE232" s="168"/>
      <c r="AF232" s="168"/>
      <c r="AG232" s="168"/>
      <c r="AH232" s="168"/>
      <c r="AI232" s="168"/>
      <c r="AJ232" s="168"/>
      <c r="AK232" s="168"/>
      <c r="AL232" s="168"/>
      <c r="AM232" s="168"/>
      <c r="AN232" s="168"/>
      <c r="AO232" s="168"/>
      <c r="AP232" s="168"/>
      <c r="AQ232" s="168"/>
      <c r="AR232" s="168"/>
      <c r="AS232" s="168"/>
      <c r="AT232" s="168"/>
      <c r="AU232" s="168"/>
      <c r="AV232" s="168"/>
      <c r="AW232" s="168"/>
      <c r="AX232" s="168"/>
      <c r="AY232" s="168"/>
      <c r="AZ232" s="168"/>
    </row>
    <row r="233">
      <c r="A233" s="252"/>
      <c r="B233" s="139" t="s">
        <v>309</v>
      </c>
      <c r="C233" s="168"/>
      <c r="D233" s="209"/>
      <c r="E233" s="209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  <c r="AB233" s="168"/>
      <c r="AC233" s="168"/>
      <c r="AD233" s="168"/>
      <c r="AE233" s="168"/>
      <c r="AF233" s="168"/>
      <c r="AG233" s="168"/>
      <c r="AH233" s="168"/>
      <c r="AI233" s="168"/>
      <c r="AJ233" s="168"/>
      <c r="AK233" s="168"/>
      <c r="AL233" s="168"/>
      <c r="AM233" s="168"/>
      <c r="AN233" s="168"/>
      <c r="AO233" s="168"/>
      <c r="AP233" s="168"/>
      <c r="AQ233" s="168"/>
      <c r="AR233" s="168"/>
      <c r="AS233" s="168"/>
      <c r="AT233" s="168"/>
      <c r="AU233" s="168"/>
      <c r="AV233" s="168"/>
      <c r="AW233" s="168"/>
      <c r="AX233" s="168"/>
      <c r="AY233" s="168"/>
      <c r="AZ233" s="168"/>
    </row>
    <row r="234">
      <c r="A234" s="252"/>
      <c r="B234" s="168"/>
      <c r="C234" s="168"/>
      <c r="D234" s="210" t="s">
        <v>344</v>
      </c>
      <c r="E234" s="211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  <c r="AT234" s="168"/>
      <c r="AU234" s="168"/>
      <c r="AV234" s="168"/>
      <c r="AW234" s="168"/>
      <c r="AX234" s="168"/>
      <c r="AY234" s="168"/>
      <c r="AZ234" s="168"/>
    </row>
    <row r="235">
      <c r="A235" s="252"/>
      <c r="B235" s="168"/>
      <c r="C235" s="212"/>
      <c r="D235" s="213" t="s">
        <v>345</v>
      </c>
      <c r="E235" s="214" t="s">
        <v>251</v>
      </c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  <c r="AB235" s="168"/>
      <c r="AC235" s="168"/>
      <c r="AD235" s="168"/>
      <c r="AE235" s="168"/>
      <c r="AF235" s="168"/>
      <c r="AG235" s="168"/>
      <c r="AH235" s="168"/>
      <c r="AI235" s="168"/>
      <c r="AJ235" s="168"/>
      <c r="AK235" s="168"/>
      <c r="AL235" s="168"/>
      <c r="AM235" s="168"/>
      <c r="AN235" s="168"/>
      <c r="AO235" s="168"/>
      <c r="AP235" s="168"/>
      <c r="AQ235" s="168"/>
      <c r="AR235" s="168"/>
      <c r="AS235" s="168"/>
      <c r="AT235" s="168"/>
      <c r="AU235" s="168"/>
      <c r="AV235" s="168"/>
      <c r="AW235" s="168"/>
      <c r="AX235" s="168"/>
      <c r="AY235" s="168"/>
      <c r="AZ235" s="168"/>
    </row>
    <row r="236">
      <c r="A236" s="252"/>
      <c r="B236" s="175" t="str">
        <f>"1 year ("&amp;(Year(today())+1)&amp;")"</f>
        <v>1 year (2026)</v>
      </c>
      <c r="C236" s="215"/>
      <c r="D236" s="219">
        <f>E230</f>
        <v>459.4618535</v>
      </c>
      <c r="E236" s="217" t="str">
        <f t="shared" ref="E236:E239" si="37">D236/$H65</f>
        <v>#DIV/0!</v>
      </c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  <c r="AB236" s="168"/>
      <c r="AC236" s="168"/>
      <c r="AD236" s="168"/>
      <c r="AE236" s="168"/>
      <c r="AF236" s="168"/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168"/>
      <c r="AT236" s="168"/>
      <c r="AU236" s="168"/>
      <c r="AV236" s="168"/>
      <c r="AW236" s="168"/>
      <c r="AX236" s="168"/>
      <c r="AY236" s="168"/>
      <c r="AZ236" s="168"/>
    </row>
    <row r="237">
      <c r="A237" s="252"/>
      <c r="B237" s="175" t="str">
        <f>"5 years ("&amp;(Year(today())+5)&amp;")"</f>
        <v>5 years (2030)</v>
      </c>
      <c r="C237" s="218"/>
      <c r="D237" s="219">
        <f>I230</f>
        <v>68435.46293</v>
      </c>
      <c r="E237" s="217" t="str">
        <f t="shared" si="37"/>
        <v>#DIV/0!</v>
      </c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  <c r="AB237" s="168"/>
      <c r="AC237" s="168"/>
      <c r="AD237" s="168"/>
      <c r="AE237" s="168"/>
      <c r="AF237" s="168"/>
      <c r="AG237" s="168"/>
      <c r="AH237" s="168"/>
      <c r="AI237" s="168"/>
      <c r="AJ237" s="168"/>
      <c r="AK237" s="168"/>
      <c r="AL237" s="168"/>
      <c r="AM237" s="168"/>
      <c r="AN237" s="168"/>
      <c r="AO237" s="168"/>
      <c r="AP237" s="168"/>
      <c r="AQ237" s="168"/>
      <c r="AR237" s="168"/>
      <c r="AS237" s="168"/>
      <c r="AT237" s="168"/>
      <c r="AU237" s="168"/>
      <c r="AV237" s="168"/>
      <c r="AW237" s="168"/>
      <c r="AX237" s="168"/>
      <c r="AY237" s="168"/>
      <c r="AZ237" s="168"/>
    </row>
    <row r="238">
      <c r="A238" s="252"/>
      <c r="B238" s="175" t="str">
        <f>"10 years ("&amp;(Year(today())+10)&amp;")"</f>
        <v>10 years (2035)</v>
      </c>
      <c r="C238" s="218"/>
      <c r="D238" s="219">
        <f>N230</f>
        <v>165525.6614</v>
      </c>
      <c r="E238" s="217" t="str">
        <f t="shared" si="37"/>
        <v>#DIV/0!</v>
      </c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  <c r="AB238" s="168"/>
      <c r="AC238" s="168"/>
      <c r="AD238" s="168"/>
      <c r="AE238" s="168"/>
      <c r="AF238" s="168"/>
      <c r="AG238" s="168"/>
      <c r="AH238" s="168"/>
      <c r="AI238" s="168"/>
      <c r="AJ238" s="168"/>
      <c r="AK238" s="168"/>
      <c r="AL238" s="168"/>
      <c r="AM238" s="168"/>
      <c r="AN238" s="168"/>
      <c r="AO238" s="168"/>
      <c r="AP238" s="168"/>
      <c r="AQ238" s="168"/>
      <c r="AR238" s="168"/>
      <c r="AS238" s="168"/>
      <c r="AT238" s="168"/>
      <c r="AU238" s="168"/>
      <c r="AV238" s="168"/>
      <c r="AW238" s="168"/>
      <c r="AX238" s="168"/>
      <c r="AY238" s="168"/>
      <c r="AZ238" s="168"/>
    </row>
    <row r="239">
      <c r="A239" s="252"/>
      <c r="B239" s="175" t="str">
        <f>"20 years ("&amp;(Year(today())+20)&amp;")"</f>
        <v>20 years (2045)</v>
      </c>
      <c r="C239" s="222"/>
      <c r="D239" s="219">
        <f>X230</f>
        <v>408560.9192</v>
      </c>
      <c r="E239" s="217" t="str">
        <f t="shared" si="37"/>
        <v>#DIV/0!</v>
      </c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  <c r="AB239" s="168"/>
      <c r="AC239" s="168"/>
      <c r="AD239" s="168"/>
      <c r="AE239" s="168"/>
      <c r="AF239" s="168"/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168"/>
      <c r="AT239" s="168"/>
      <c r="AU239" s="168"/>
      <c r="AV239" s="168"/>
      <c r="AW239" s="168"/>
      <c r="AX239" s="168"/>
      <c r="AY239" s="168"/>
      <c r="AZ239" s="168"/>
    </row>
    <row r="240">
      <c r="A240" s="252"/>
      <c r="B240" s="253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  <c r="AB240" s="168"/>
      <c r="AC240" s="168"/>
      <c r="AD240" s="168"/>
      <c r="AE240" s="168"/>
      <c r="AF240" s="168"/>
      <c r="AG240" s="168"/>
      <c r="AH240" s="168"/>
      <c r="AI240" s="168"/>
      <c r="AJ240" s="168"/>
      <c r="AK240" s="168"/>
      <c r="AL240" s="168"/>
      <c r="AM240" s="168"/>
      <c r="AN240" s="168"/>
      <c r="AO240" s="168"/>
      <c r="AP240" s="168"/>
      <c r="AQ240" s="168"/>
      <c r="AR240" s="168"/>
      <c r="AS240" s="168"/>
      <c r="AT240" s="168"/>
      <c r="AU240" s="168"/>
      <c r="AV240" s="168"/>
      <c r="AW240" s="168"/>
      <c r="AX240" s="168"/>
      <c r="AY240" s="168"/>
      <c r="AZ240" s="168"/>
    </row>
    <row r="241">
      <c r="A241" s="252"/>
      <c r="B241" s="253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  <c r="AB241" s="168"/>
      <c r="AC241" s="168"/>
      <c r="AD241" s="168"/>
      <c r="AE241" s="168"/>
      <c r="AF241" s="168"/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168"/>
      <c r="AT241" s="168"/>
      <c r="AU241" s="168"/>
      <c r="AV241" s="168"/>
      <c r="AW241" s="168"/>
      <c r="AX241" s="168"/>
      <c r="AY241" s="168"/>
      <c r="AZ241" s="168"/>
    </row>
    <row r="242">
      <c r="A242" s="252"/>
      <c r="B242" s="253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  <c r="AB242" s="168"/>
      <c r="AC242" s="168"/>
      <c r="AD242" s="168"/>
      <c r="AE242" s="168"/>
      <c r="AF242" s="168"/>
      <c r="AG242" s="168"/>
      <c r="AH242" s="168"/>
      <c r="AI242" s="168"/>
      <c r="AJ242" s="168"/>
      <c r="AK242" s="168"/>
      <c r="AL242" s="168"/>
      <c r="AM242" s="168"/>
      <c r="AN242" s="168"/>
      <c r="AO242" s="168"/>
      <c r="AP242" s="168"/>
      <c r="AQ242" s="168"/>
      <c r="AR242" s="168"/>
      <c r="AS242" s="168"/>
      <c r="AT242" s="168"/>
      <c r="AU242" s="168"/>
      <c r="AV242" s="168"/>
      <c r="AW242" s="168"/>
      <c r="AX242" s="168"/>
      <c r="AY242" s="168"/>
      <c r="AZ242" s="168"/>
    </row>
    <row r="243">
      <c r="A243" s="252" t="s">
        <v>389</v>
      </c>
      <c r="B243" s="253" t="s">
        <v>390</v>
      </c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  <c r="AB243" s="168"/>
      <c r="AC243" s="168"/>
      <c r="AD243" s="168"/>
      <c r="AE243" s="168"/>
      <c r="AF243" s="168"/>
      <c r="AG243" s="168"/>
      <c r="AH243" s="168"/>
      <c r="AI243" s="168"/>
      <c r="AJ243" s="168"/>
      <c r="AK243" s="168"/>
      <c r="AL243" s="168"/>
      <c r="AM243" s="168"/>
      <c r="AN243" s="168"/>
      <c r="AO243" s="168"/>
      <c r="AP243" s="168"/>
      <c r="AQ243" s="168"/>
      <c r="AR243" s="168"/>
      <c r="AS243" s="168"/>
      <c r="AT243" s="168"/>
      <c r="AU243" s="168"/>
      <c r="AV243" s="168"/>
      <c r="AW243" s="168"/>
      <c r="AX243" s="168"/>
      <c r="AY243" s="168"/>
      <c r="AZ243" s="168"/>
    </row>
    <row r="244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  <c r="AB244" s="168"/>
      <c r="AC244" s="168"/>
      <c r="AD244" s="168"/>
      <c r="AE244" s="168"/>
      <c r="AF244" s="168"/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168"/>
      <c r="AT244" s="168"/>
      <c r="AU244" s="168"/>
      <c r="AV244" s="168"/>
      <c r="AW244" s="168"/>
      <c r="AX244" s="168"/>
      <c r="AY244" s="168"/>
      <c r="AZ244" s="168"/>
    </row>
    <row r="245">
      <c r="A245" s="168"/>
      <c r="B245" s="139" t="s">
        <v>280</v>
      </c>
      <c r="C245" s="224" t="str">
        <f>concatenate("Annual salary growth assumed to be ",B254," until retirement at age 70")</f>
        <v>Annual salary growth assumed to be 0.02 until retirement at age 70</v>
      </c>
      <c r="D245" s="168"/>
      <c r="E245" s="168"/>
      <c r="F245" s="168"/>
      <c r="G245" s="168"/>
      <c r="H245" s="258" t="s">
        <v>247</v>
      </c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  <c r="AB245" s="168"/>
      <c r="AC245" s="168"/>
      <c r="AD245" s="168"/>
      <c r="AE245" s="168"/>
      <c r="AF245" s="168"/>
      <c r="AG245" s="168"/>
      <c r="AH245" s="168"/>
      <c r="AI245" s="168"/>
      <c r="AJ245" s="168"/>
      <c r="AK245" s="168"/>
      <c r="AL245" s="168"/>
      <c r="AM245" s="168"/>
      <c r="AN245" s="168"/>
      <c r="AO245" s="168"/>
      <c r="AP245" s="168"/>
      <c r="AQ245" s="168"/>
      <c r="AR245" s="168"/>
      <c r="AS245" s="168"/>
      <c r="AT245" s="168"/>
      <c r="AU245" s="168"/>
      <c r="AV245" s="168"/>
      <c r="AW245" s="168"/>
      <c r="AX245" s="168"/>
      <c r="AY245" s="168"/>
      <c r="AZ245" s="168"/>
    </row>
    <row r="246">
      <c r="A246" s="168"/>
      <c r="B246" s="168"/>
      <c r="C246" s="224" t="s">
        <v>391</v>
      </c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  <c r="AT246" s="168"/>
      <c r="AU246" s="168"/>
      <c r="AV246" s="168"/>
      <c r="AW246" s="168"/>
      <c r="AX246" s="168"/>
      <c r="AY246" s="168"/>
      <c r="AZ246" s="168"/>
    </row>
    <row r="247">
      <c r="A247" s="168"/>
      <c r="B247" s="168"/>
      <c r="C247" s="170" t="s">
        <v>392</v>
      </c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  <c r="AB247" s="168"/>
      <c r="AC247" s="168"/>
      <c r="AD247" s="168"/>
      <c r="AE247" s="168"/>
      <c r="AF247" s="168"/>
      <c r="AG247" s="168"/>
      <c r="AH247" s="168"/>
      <c r="AI247" s="168"/>
      <c r="AJ247" s="168"/>
      <c r="AK247" s="168"/>
      <c r="AL247" s="168"/>
      <c r="AM247" s="168"/>
      <c r="AN247" s="168"/>
      <c r="AO247" s="168"/>
      <c r="AP247" s="168"/>
      <c r="AQ247" s="168"/>
      <c r="AR247" s="168"/>
      <c r="AS247" s="168"/>
      <c r="AT247" s="168"/>
      <c r="AU247" s="168"/>
      <c r="AV247" s="168"/>
      <c r="AW247" s="168"/>
      <c r="AX247" s="168"/>
      <c r="AY247" s="168"/>
      <c r="AZ247" s="168"/>
    </row>
    <row r="24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  <c r="AB248" s="168"/>
      <c r="AC248" s="168"/>
      <c r="AD248" s="168"/>
      <c r="AE248" s="168"/>
      <c r="AF248" s="168"/>
      <c r="AG248" s="168"/>
      <c r="AH248" s="168"/>
      <c r="AI248" s="168"/>
      <c r="AJ248" s="168"/>
      <c r="AK248" s="168"/>
      <c r="AL248" s="168"/>
      <c r="AM248" s="168"/>
      <c r="AN248" s="168"/>
      <c r="AO248" s="168"/>
      <c r="AP248" s="168"/>
      <c r="AQ248" s="168"/>
      <c r="AR248" s="168"/>
      <c r="AS248" s="168"/>
      <c r="AT248" s="168"/>
      <c r="AU248" s="168"/>
      <c r="AV248" s="168"/>
      <c r="AW248" s="168"/>
      <c r="AX248" s="168"/>
      <c r="AY248" s="168"/>
      <c r="AZ248" s="168"/>
    </row>
    <row r="249">
      <c r="A249" s="168"/>
      <c r="B249" s="259" t="s">
        <v>314</v>
      </c>
      <c r="C249" s="173" t="s">
        <v>393</v>
      </c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  <c r="AB249" s="168"/>
      <c r="AC249" s="168"/>
      <c r="AD249" s="168"/>
      <c r="AE249" s="168"/>
      <c r="AF249" s="168"/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168"/>
      <c r="AT249" s="168"/>
      <c r="AU249" s="168"/>
      <c r="AV249" s="168"/>
      <c r="AW249" s="168"/>
      <c r="AX249" s="168"/>
      <c r="AY249" s="168"/>
      <c r="AZ249" s="168"/>
    </row>
    <row r="250">
      <c r="A250" s="168"/>
      <c r="B250" s="259" t="s">
        <v>316</v>
      </c>
      <c r="C250" s="173" t="s">
        <v>319</v>
      </c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  <c r="AB250" s="168"/>
      <c r="AC250" s="168"/>
      <c r="AD250" s="168"/>
      <c r="AE250" s="168"/>
      <c r="AF250" s="168"/>
      <c r="AG250" s="168"/>
      <c r="AH250" s="168"/>
      <c r="AI250" s="168"/>
      <c r="AJ250" s="168"/>
      <c r="AK250" s="168"/>
      <c r="AL250" s="168"/>
      <c r="AM250" s="168"/>
      <c r="AN250" s="168"/>
      <c r="AO250" s="168"/>
      <c r="AP250" s="168"/>
      <c r="AQ250" s="168"/>
      <c r="AR250" s="168"/>
      <c r="AS250" s="168"/>
      <c r="AT250" s="168"/>
      <c r="AU250" s="168"/>
      <c r="AV250" s="168"/>
      <c r="AW250" s="168"/>
      <c r="AX250" s="168"/>
      <c r="AY250" s="168"/>
      <c r="AZ250" s="168"/>
    </row>
    <row r="251">
      <c r="A251" s="168"/>
      <c r="B251" s="259" t="s">
        <v>318</v>
      </c>
      <c r="C251" s="173" t="s">
        <v>317</v>
      </c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  <c r="AB251" s="168"/>
      <c r="AC251" s="168"/>
      <c r="AD251" s="168"/>
      <c r="AE251" s="168"/>
      <c r="AF251" s="168"/>
      <c r="AG251" s="168"/>
      <c r="AH251" s="168"/>
      <c r="AI251" s="168"/>
      <c r="AJ251" s="168"/>
      <c r="AK251" s="168"/>
      <c r="AL251" s="168"/>
      <c r="AM251" s="168"/>
      <c r="AN251" s="168"/>
      <c r="AO251" s="168"/>
      <c r="AP251" s="168"/>
      <c r="AQ251" s="168"/>
      <c r="AR251" s="168"/>
      <c r="AS251" s="168"/>
      <c r="AT251" s="168"/>
      <c r="AU251" s="168"/>
      <c r="AV251" s="168"/>
      <c r="AW251" s="168"/>
      <c r="AX251" s="168"/>
      <c r="AY251" s="168"/>
      <c r="AZ251" s="168"/>
    </row>
    <row r="252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  <c r="AB252" s="168"/>
      <c r="AC252" s="168"/>
      <c r="AD252" s="168"/>
      <c r="AE252" s="168"/>
      <c r="AF252" s="168"/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168"/>
      <c r="AT252" s="168"/>
      <c r="AU252" s="168"/>
      <c r="AV252" s="168"/>
      <c r="AW252" s="168"/>
      <c r="AX252" s="168"/>
      <c r="AY252" s="168"/>
      <c r="AZ252" s="168"/>
    </row>
    <row r="253">
      <c r="A253" s="168"/>
      <c r="B253" s="260" t="s">
        <v>394</v>
      </c>
      <c r="C253" s="260" t="s">
        <v>395</v>
      </c>
      <c r="D253" s="260" t="s">
        <v>396</v>
      </c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  <c r="AB253" s="168"/>
      <c r="AC253" s="168"/>
      <c r="AD253" s="168"/>
      <c r="AE253" s="168"/>
      <c r="AF253" s="168"/>
      <c r="AG253" s="168"/>
      <c r="AH253" s="168"/>
      <c r="AI253" s="168"/>
      <c r="AJ253" s="168"/>
      <c r="AK253" s="168"/>
      <c r="AL253" s="168"/>
      <c r="AM253" s="168"/>
      <c r="AN253" s="168"/>
      <c r="AO253" s="168"/>
      <c r="AP253" s="168"/>
      <c r="AQ253" s="168"/>
      <c r="AR253" s="168"/>
      <c r="AS253" s="168"/>
      <c r="AT253" s="168"/>
      <c r="AU253" s="168"/>
      <c r="AV253" s="168"/>
      <c r="AW253" s="168"/>
      <c r="AX253" s="168"/>
      <c r="AY253" s="168"/>
      <c r="AZ253" s="168"/>
    </row>
    <row r="254">
      <c r="A254" s="168"/>
      <c r="B254" s="261">
        <v>0.02</v>
      </c>
      <c r="C254" s="262" t="str">
        <f t="array" ref="C254">year(today())&amp;" - "&amp;index(C255,0)</f>
        <v>2025 - 2061</v>
      </c>
      <c r="D254" s="262" t="s">
        <v>397</v>
      </c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  <c r="AB254" s="168"/>
      <c r="AC254" s="168"/>
      <c r="AD254" s="168"/>
      <c r="AE254" s="168"/>
      <c r="AF254" s="168"/>
      <c r="AG254" s="168"/>
      <c r="AH254" s="168"/>
      <c r="AI254" s="168"/>
      <c r="AJ254" s="168"/>
      <c r="AK254" s="168"/>
      <c r="AL254" s="168"/>
      <c r="AM254" s="168"/>
      <c r="AN254" s="168"/>
      <c r="AO254" s="168"/>
      <c r="AP254" s="168"/>
      <c r="AQ254" s="168"/>
      <c r="AR254" s="168"/>
      <c r="AS254" s="168"/>
      <c r="AT254" s="168"/>
      <c r="AU254" s="168"/>
      <c r="AV254" s="168"/>
      <c r="AW254" s="168"/>
      <c r="AX254" s="168"/>
      <c r="AY254" s="168"/>
      <c r="AZ254" s="168"/>
    </row>
    <row r="255">
      <c r="A255" s="168"/>
      <c r="B255" s="263">
        <v>0.0</v>
      </c>
      <c r="C255" s="264">
        <f>70+'Input Data'!B2</f>
        <v>2061</v>
      </c>
      <c r="D255" s="262" t="s">
        <v>398</v>
      </c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  <c r="AB255" s="168"/>
      <c r="AC255" s="168"/>
      <c r="AD255" s="168"/>
      <c r="AE255" s="168"/>
      <c r="AF255" s="168"/>
      <c r="AG255" s="168"/>
      <c r="AH255" s="168"/>
      <c r="AI255" s="168"/>
      <c r="AJ255" s="168"/>
      <c r="AK255" s="168"/>
      <c r="AL255" s="168"/>
      <c r="AM255" s="168"/>
      <c r="AN255" s="168"/>
      <c r="AO255" s="168"/>
      <c r="AP255" s="168"/>
      <c r="AQ255" s="168"/>
      <c r="AR255" s="168"/>
      <c r="AS255" s="168"/>
      <c r="AT255" s="168"/>
      <c r="AU255" s="168"/>
      <c r="AV255" s="168"/>
      <c r="AW255" s="168"/>
      <c r="AX255" s="168"/>
      <c r="AY255" s="168"/>
      <c r="AZ255" s="168"/>
    </row>
    <row r="256">
      <c r="A256" s="168"/>
      <c r="B256" s="168"/>
      <c r="C256" s="192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  <c r="AB256" s="168"/>
      <c r="AC256" s="168"/>
      <c r="AD256" s="168"/>
      <c r="AE256" s="168"/>
      <c r="AF256" s="168"/>
      <c r="AG256" s="168"/>
      <c r="AH256" s="168"/>
      <c r="AI256" s="168"/>
      <c r="AJ256" s="168"/>
      <c r="AK256" s="168"/>
      <c r="AL256" s="168"/>
      <c r="AM256" s="168"/>
      <c r="AN256" s="168"/>
      <c r="AO256" s="168"/>
      <c r="AP256" s="168"/>
      <c r="AQ256" s="168"/>
      <c r="AR256" s="168"/>
      <c r="AS256" s="168"/>
      <c r="AT256" s="168"/>
      <c r="AU256" s="168"/>
      <c r="AV256" s="168"/>
      <c r="AW256" s="168"/>
      <c r="AX256" s="168"/>
      <c r="AY256" s="168"/>
      <c r="AZ256" s="168"/>
    </row>
    <row r="257">
      <c r="A257" s="168"/>
      <c r="B257" s="168"/>
      <c r="C257" s="192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  <c r="AB257" s="168"/>
      <c r="AC257" s="168"/>
      <c r="AD257" s="168"/>
      <c r="AE257" s="168"/>
      <c r="AF257" s="168"/>
      <c r="AG257" s="168"/>
      <c r="AH257" s="168"/>
      <c r="AI257" s="168"/>
      <c r="AJ257" s="168"/>
      <c r="AK257" s="168"/>
      <c r="AL257" s="168"/>
      <c r="AM257" s="168"/>
      <c r="AN257" s="168"/>
      <c r="AO257" s="168"/>
      <c r="AP257" s="168"/>
      <c r="AQ257" s="168"/>
      <c r="AR257" s="168"/>
      <c r="AS257" s="168"/>
      <c r="AT257" s="168"/>
      <c r="AU257" s="168"/>
      <c r="AV257" s="168"/>
      <c r="AW257" s="168"/>
      <c r="AX257" s="168"/>
      <c r="AY257" s="168"/>
      <c r="AZ257" s="168"/>
    </row>
    <row r="258">
      <c r="A258" s="168"/>
      <c r="B258" s="139" t="s">
        <v>336</v>
      </c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  <c r="AT258" s="168"/>
      <c r="AU258" s="168"/>
      <c r="AV258" s="168"/>
      <c r="AW258" s="168"/>
      <c r="AX258" s="168"/>
      <c r="AY258" s="168"/>
      <c r="AZ258" s="168"/>
    </row>
    <row r="259">
      <c r="A259" s="168"/>
      <c r="B259" s="168"/>
      <c r="C259" s="168"/>
      <c r="D259" s="85" t="s">
        <v>285</v>
      </c>
      <c r="E259" s="193">
        <v>46143.0</v>
      </c>
      <c r="F259" s="193">
        <v>46508.0</v>
      </c>
      <c r="G259" s="193">
        <v>46874.0</v>
      </c>
      <c r="H259" s="193">
        <v>47239.0</v>
      </c>
      <c r="I259" s="193">
        <v>47604.0</v>
      </c>
      <c r="J259" s="193">
        <v>47969.0</v>
      </c>
      <c r="K259" s="193">
        <v>48335.0</v>
      </c>
      <c r="L259" s="193">
        <v>48700.0</v>
      </c>
      <c r="M259" s="193">
        <v>49065.0</v>
      </c>
      <c r="N259" s="193">
        <v>49430.0</v>
      </c>
      <c r="O259" s="193">
        <v>49796.0</v>
      </c>
      <c r="P259" s="193">
        <v>50161.0</v>
      </c>
      <c r="Q259" s="193">
        <v>50526.0</v>
      </c>
      <c r="R259" s="193">
        <v>50891.0</v>
      </c>
      <c r="S259" s="193">
        <v>51257.0</v>
      </c>
      <c r="T259" s="193">
        <v>51622.0</v>
      </c>
      <c r="U259" s="193">
        <v>51987.0</v>
      </c>
      <c r="V259" s="193">
        <v>52352.0</v>
      </c>
      <c r="W259" s="193">
        <v>52718.0</v>
      </c>
      <c r="X259" s="193">
        <v>53083.0</v>
      </c>
      <c r="Y259" s="193">
        <v>53448.0</v>
      </c>
      <c r="Z259" s="193">
        <v>53813.0</v>
      </c>
      <c r="AA259" s="193">
        <v>54179.0</v>
      </c>
      <c r="AB259" s="193">
        <v>54544.0</v>
      </c>
      <c r="AC259" s="193">
        <v>54909.0</v>
      </c>
      <c r="AD259" s="193">
        <v>55274.0</v>
      </c>
      <c r="AE259" s="193">
        <v>55640.0</v>
      </c>
      <c r="AF259" s="193">
        <v>56005.0</v>
      </c>
      <c r="AG259" s="193">
        <v>56370.0</v>
      </c>
      <c r="AH259" s="193">
        <v>56735.0</v>
      </c>
      <c r="AI259" s="193">
        <v>57101.0</v>
      </c>
      <c r="AJ259" s="193">
        <v>57466.0</v>
      </c>
      <c r="AK259" s="193">
        <v>57831.0</v>
      </c>
      <c r="AL259" s="193">
        <v>58196.0</v>
      </c>
      <c r="AM259" s="193">
        <v>58562.0</v>
      </c>
      <c r="AN259" s="193">
        <v>58927.0</v>
      </c>
      <c r="AO259" s="193">
        <v>59292.0</v>
      </c>
      <c r="AP259" s="193">
        <v>59657.0</v>
      </c>
      <c r="AQ259" s="193">
        <v>60023.0</v>
      </c>
      <c r="AR259" s="193">
        <v>60388.0</v>
      </c>
      <c r="AS259" s="193">
        <v>60753.0</v>
      </c>
      <c r="AT259" s="193">
        <v>61118.0</v>
      </c>
      <c r="AU259" s="193">
        <v>61484.0</v>
      </c>
      <c r="AV259" s="193">
        <v>61849.0</v>
      </c>
      <c r="AW259" s="193">
        <v>62214.0</v>
      </c>
      <c r="AX259" s="193">
        <v>62579.0</v>
      </c>
      <c r="AY259" s="193">
        <v>62945.0</v>
      </c>
      <c r="AZ259" s="193">
        <v>63310.0</v>
      </c>
    </row>
    <row r="260">
      <c r="A260" s="168"/>
      <c r="B260" s="197" t="s">
        <v>179</v>
      </c>
      <c r="C260" s="202"/>
      <c r="D260" s="265">
        <f>ann_th_salary</f>
        <v>108000</v>
      </c>
      <c r="E260" s="203">
        <f t="shared" ref="E260:AZ260" si="38">if(RIGHT(E$259,4)&lt;=RIGHT($C$255,4),D260*(1+$B254),0)</f>
        <v>110160</v>
      </c>
      <c r="F260" s="203">
        <f t="shared" si="38"/>
        <v>112363.2</v>
      </c>
      <c r="G260" s="203">
        <f t="shared" si="38"/>
        <v>114610.464</v>
      </c>
      <c r="H260" s="203">
        <f t="shared" si="38"/>
        <v>116902.6733</v>
      </c>
      <c r="I260" s="203">
        <f t="shared" si="38"/>
        <v>119240.7267</v>
      </c>
      <c r="J260" s="203">
        <f t="shared" si="38"/>
        <v>121625.5413</v>
      </c>
      <c r="K260" s="203">
        <f t="shared" si="38"/>
        <v>124058.0521</v>
      </c>
      <c r="L260" s="203">
        <f t="shared" si="38"/>
        <v>126539.2131</v>
      </c>
      <c r="M260" s="203">
        <f t="shared" si="38"/>
        <v>129069.9974</v>
      </c>
      <c r="N260" s="203">
        <f t="shared" si="38"/>
        <v>131651.3974</v>
      </c>
      <c r="O260" s="203">
        <f t="shared" si="38"/>
        <v>134284.4253</v>
      </c>
      <c r="P260" s="203">
        <f t="shared" si="38"/>
        <v>136970.1138</v>
      </c>
      <c r="Q260" s="203">
        <f t="shared" si="38"/>
        <v>139709.5161</v>
      </c>
      <c r="R260" s="203">
        <f t="shared" si="38"/>
        <v>142503.7064</v>
      </c>
      <c r="S260" s="203">
        <f t="shared" si="38"/>
        <v>145353.7805</v>
      </c>
      <c r="T260" s="203">
        <f t="shared" si="38"/>
        <v>148260.8561</v>
      </c>
      <c r="U260" s="203">
        <f t="shared" si="38"/>
        <v>151226.0733</v>
      </c>
      <c r="V260" s="203">
        <f t="shared" si="38"/>
        <v>154250.5947</v>
      </c>
      <c r="W260" s="203">
        <f t="shared" si="38"/>
        <v>157335.6066</v>
      </c>
      <c r="X260" s="203">
        <f t="shared" si="38"/>
        <v>160482.3188</v>
      </c>
      <c r="Y260" s="203">
        <f t="shared" si="38"/>
        <v>163691.9651</v>
      </c>
      <c r="Z260" s="203">
        <f t="shared" si="38"/>
        <v>166965.8044</v>
      </c>
      <c r="AA260" s="203">
        <f t="shared" si="38"/>
        <v>170305.1205</v>
      </c>
      <c r="AB260" s="203">
        <f t="shared" si="38"/>
        <v>173711.2229</v>
      </c>
      <c r="AC260" s="203">
        <f t="shared" si="38"/>
        <v>177185.4474</v>
      </c>
      <c r="AD260" s="203">
        <f t="shared" si="38"/>
        <v>180729.1564</v>
      </c>
      <c r="AE260" s="203">
        <f t="shared" si="38"/>
        <v>184343.7395</v>
      </c>
      <c r="AF260" s="203">
        <f t="shared" si="38"/>
        <v>188030.6143</v>
      </c>
      <c r="AG260" s="203">
        <f t="shared" si="38"/>
        <v>191791.2266</v>
      </c>
      <c r="AH260" s="203">
        <f t="shared" si="38"/>
        <v>195627.0511</v>
      </c>
      <c r="AI260" s="203">
        <f t="shared" si="38"/>
        <v>199539.5921</v>
      </c>
      <c r="AJ260" s="203">
        <f t="shared" si="38"/>
        <v>203530.3839</v>
      </c>
      <c r="AK260" s="203">
        <f t="shared" si="38"/>
        <v>207600.9916</v>
      </c>
      <c r="AL260" s="203">
        <f t="shared" si="38"/>
        <v>211753.0115</v>
      </c>
      <c r="AM260" s="203">
        <f t="shared" si="38"/>
        <v>215988.0717</v>
      </c>
      <c r="AN260" s="203">
        <f t="shared" si="38"/>
        <v>220307.8331</v>
      </c>
      <c r="AO260" s="203">
        <f t="shared" si="38"/>
        <v>0</v>
      </c>
      <c r="AP260" s="203">
        <f t="shared" si="38"/>
        <v>0</v>
      </c>
      <c r="AQ260" s="203">
        <f t="shared" si="38"/>
        <v>0</v>
      </c>
      <c r="AR260" s="203">
        <f t="shared" si="38"/>
        <v>0</v>
      </c>
      <c r="AS260" s="203">
        <f t="shared" si="38"/>
        <v>0</v>
      </c>
      <c r="AT260" s="203">
        <f t="shared" si="38"/>
        <v>0</v>
      </c>
      <c r="AU260" s="203">
        <f t="shared" si="38"/>
        <v>0</v>
      </c>
      <c r="AV260" s="203">
        <f t="shared" si="38"/>
        <v>0</v>
      </c>
      <c r="AW260" s="203">
        <f t="shared" si="38"/>
        <v>0</v>
      </c>
      <c r="AX260" s="203">
        <f t="shared" si="38"/>
        <v>0</v>
      </c>
      <c r="AY260" s="203">
        <f t="shared" si="38"/>
        <v>0</v>
      </c>
      <c r="AZ260" s="203">
        <f t="shared" si="38"/>
        <v>0</v>
      </c>
    </row>
    <row r="261">
      <c r="A261" s="168"/>
      <c r="B261" s="194" t="s">
        <v>399</v>
      </c>
      <c r="C261" s="202"/>
      <c r="D261" s="199">
        <f>D260-D260</f>
        <v>0</v>
      </c>
      <c r="E261" s="199">
        <f t="shared" ref="E261:AZ261" si="39">if(RIGHT(E$259,4)&lt;=RIGHT($C$255,4),E260-D260,0)</f>
        <v>2160</v>
      </c>
      <c r="F261" s="199">
        <f t="shared" si="39"/>
        <v>2203.2</v>
      </c>
      <c r="G261" s="199">
        <f t="shared" si="39"/>
        <v>2247.264</v>
      </c>
      <c r="H261" s="199">
        <f t="shared" si="39"/>
        <v>2292.20928</v>
      </c>
      <c r="I261" s="199">
        <f t="shared" si="39"/>
        <v>2338.053466</v>
      </c>
      <c r="J261" s="199">
        <f t="shared" si="39"/>
        <v>2384.814535</v>
      </c>
      <c r="K261" s="199">
        <f t="shared" si="39"/>
        <v>2432.510826</v>
      </c>
      <c r="L261" s="199">
        <f t="shared" si="39"/>
        <v>2481.161042</v>
      </c>
      <c r="M261" s="199">
        <f t="shared" si="39"/>
        <v>2530.784263</v>
      </c>
      <c r="N261" s="199">
        <f t="shared" si="39"/>
        <v>2581.399948</v>
      </c>
      <c r="O261" s="199">
        <f t="shared" si="39"/>
        <v>2633.027947</v>
      </c>
      <c r="P261" s="199">
        <f t="shared" si="39"/>
        <v>2685.688506</v>
      </c>
      <c r="Q261" s="199">
        <f t="shared" si="39"/>
        <v>2739.402276</v>
      </c>
      <c r="R261" s="199">
        <f t="shared" si="39"/>
        <v>2794.190322</v>
      </c>
      <c r="S261" s="199">
        <f t="shared" si="39"/>
        <v>2850.074128</v>
      </c>
      <c r="T261" s="199">
        <f t="shared" si="39"/>
        <v>2907.075611</v>
      </c>
      <c r="U261" s="199">
        <f t="shared" si="39"/>
        <v>2965.217123</v>
      </c>
      <c r="V261" s="199">
        <f t="shared" si="39"/>
        <v>3024.521465</v>
      </c>
      <c r="W261" s="199">
        <f t="shared" si="39"/>
        <v>3085.011895</v>
      </c>
      <c r="X261" s="199">
        <f t="shared" si="39"/>
        <v>3146.712133</v>
      </c>
      <c r="Y261" s="199">
        <f t="shared" si="39"/>
        <v>3209.646375</v>
      </c>
      <c r="Z261" s="199">
        <f t="shared" si="39"/>
        <v>3273.839303</v>
      </c>
      <c r="AA261" s="199">
        <f t="shared" si="39"/>
        <v>3339.316089</v>
      </c>
      <c r="AB261" s="199">
        <f t="shared" si="39"/>
        <v>3406.102411</v>
      </c>
      <c r="AC261" s="199">
        <f t="shared" si="39"/>
        <v>3474.224459</v>
      </c>
      <c r="AD261" s="199">
        <f t="shared" si="39"/>
        <v>3543.708948</v>
      </c>
      <c r="AE261" s="199">
        <f t="shared" si="39"/>
        <v>3614.583127</v>
      </c>
      <c r="AF261" s="199">
        <f t="shared" si="39"/>
        <v>3686.87479</v>
      </c>
      <c r="AG261" s="199">
        <f t="shared" si="39"/>
        <v>3760.612285</v>
      </c>
      <c r="AH261" s="199">
        <f t="shared" si="39"/>
        <v>3835.824531</v>
      </c>
      <c r="AI261" s="199">
        <f t="shared" si="39"/>
        <v>3912.541022</v>
      </c>
      <c r="AJ261" s="199">
        <f t="shared" si="39"/>
        <v>3990.791842</v>
      </c>
      <c r="AK261" s="199">
        <f t="shared" si="39"/>
        <v>4070.607679</v>
      </c>
      <c r="AL261" s="199">
        <f t="shared" si="39"/>
        <v>4152.019833</v>
      </c>
      <c r="AM261" s="199">
        <f t="shared" si="39"/>
        <v>4235.060229</v>
      </c>
      <c r="AN261" s="199">
        <f t="shared" si="39"/>
        <v>4319.761434</v>
      </c>
      <c r="AO261" s="199">
        <f t="shared" si="39"/>
        <v>0</v>
      </c>
      <c r="AP261" s="199">
        <f t="shared" si="39"/>
        <v>0</v>
      </c>
      <c r="AQ261" s="199">
        <f t="shared" si="39"/>
        <v>0</v>
      </c>
      <c r="AR261" s="199">
        <f t="shared" si="39"/>
        <v>0</v>
      </c>
      <c r="AS261" s="199">
        <f t="shared" si="39"/>
        <v>0</v>
      </c>
      <c r="AT261" s="199">
        <f t="shared" si="39"/>
        <v>0</v>
      </c>
      <c r="AU261" s="199">
        <f t="shared" si="39"/>
        <v>0</v>
      </c>
      <c r="AV261" s="199">
        <f t="shared" si="39"/>
        <v>0</v>
      </c>
      <c r="AW261" s="199">
        <f t="shared" si="39"/>
        <v>0</v>
      </c>
      <c r="AX261" s="199">
        <f t="shared" si="39"/>
        <v>0</v>
      </c>
      <c r="AY261" s="199">
        <f t="shared" si="39"/>
        <v>0</v>
      </c>
      <c r="AZ261" s="199">
        <f t="shared" si="39"/>
        <v>0</v>
      </c>
    </row>
    <row r="262">
      <c r="A262" s="168"/>
      <c r="B262" s="208"/>
      <c r="C262" s="168"/>
      <c r="D262" s="209"/>
      <c r="E262" s="209"/>
      <c r="F262" s="209"/>
      <c r="G262" s="209"/>
      <c r="H262" s="209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  <c r="AD262" s="266"/>
      <c r="AE262" s="266"/>
      <c r="AF262" s="266"/>
      <c r="AG262" s="266"/>
      <c r="AH262" s="266"/>
      <c r="AI262" s="266"/>
      <c r="AJ262" s="266"/>
      <c r="AK262" s="266"/>
      <c r="AL262" s="266"/>
      <c r="AM262" s="266"/>
      <c r="AN262" s="266"/>
      <c r="AO262" s="266"/>
      <c r="AP262" s="266"/>
      <c r="AQ262" s="266"/>
      <c r="AR262" s="266"/>
      <c r="AS262" s="266"/>
      <c r="AT262" s="266"/>
      <c r="AU262" s="266"/>
      <c r="AV262" s="266"/>
      <c r="AW262" s="266"/>
      <c r="AX262" s="266"/>
      <c r="AY262" s="266"/>
      <c r="AZ262" s="266"/>
    </row>
    <row r="263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  <c r="AB263" s="168"/>
      <c r="AC263" s="168"/>
      <c r="AD263" s="168"/>
      <c r="AE263" s="168"/>
      <c r="AF263" s="168"/>
      <c r="AG263" s="168"/>
      <c r="AH263" s="168"/>
      <c r="AI263" s="168"/>
      <c r="AJ263" s="168"/>
      <c r="AK263" s="168"/>
      <c r="AL263" s="168"/>
      <c r="AM263" s="168"/>
      <c r="AN263" s="168"/>
      <c r="AO263" s="168"/>
      <c r="AP263" s="168"/>
      <c r="AQ263" s="168"/>
      <c r="AR263" s="168"/>
      <c r="AS263" s="168"/>
      <c r="AT263" s="168"/>
      <c r="AU263" s="168"/>
      <c r="AV263" s="168"/>
      <c r="AW263" s="168"/>
      <c r="AX263" s="168"/>
      <c r="AY263" s="168"/>
      <c r="AZ263" s="168"/>
    </row>
    <row r="264">
      <c r="A264" s="168"/>
      <c r="B264" s="126" t="s">
        <v>340</v>
      </c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  <c r="AB264" s="168"/>
      <c r="AC264" s="168"/>
      <c r="AD264" s="168"/>
      <c r="AE264" s="168"/>
      <c r="AF264" s="168"/>
      <c r="AG264" s="168"/>
      <c r="AH264" s="168"/>
      <c r="AI264" s="168"/>
      <c r="AJ264" s="168"/>
      <c r="AK264" s="168"/>
      <c r="AL264" s="168"/>
      <c r="AM264" s="168"/>
      <c r="AN264" s="168"/>
      <c r="AO264" s="168"/>
      <c r="AP264" s="168"/>
      <c r="AQ264" s="168"/>
      <c r="AR264" s="168"/>
      <c r="AS264" s="168"/>
      <c r="AT264" s="168"/>
      <c r="AU264" s="168"/>
      <c r="AV264" s="168"/>
      <c r="AW264" s="168"/>
      <c r="AX264" s="168"/>
      <c r="AY264" s="168"/>
      <c r="AZ264" s="168"/>
    </row>
    <row r="265">
      <c r="A265" s="168"/>
      <c r="B265" s="168"/>
      <c r="C265" s="168"/>
      <c r="D265" s="85" t="s">
        <v>285</v>
      </c>
      <c r="E265" s="201">
        <v>46143.0</v>
      </c>
      <c r="F265" s="201">
        <v>46508.0</v>
      </c>
      <c r="G265" s="201">
        <v>46874.0</v>
      </c>
      <c r="H265" s="201">
        <v>47239.0</v>
      </c>
      <c r="I265" s="201">
        <v>47604.0</v>
      </c>
      <c r="J265" s="201">
        <v>47969.0</v>
      </c>
      <c r="K265" s="201">
        <v>48335.0</v>
      </c>
      <c r="L265" s="201">
        <v>48700.0</v>
      </c>
      <c r="M265" s="201">
        <v>49065.0</v>
      </c>
      <c r="N265" s="201">
        <v>49430.0</v>
      </c>
      <c r="O265" s="201">
        <v>49796.0</v>
      </c>
      <c r="P265" s="201">
        <v>50161.0</v>
      </c>
      <c r="Q265" s="201">
        <v>50526.0</v>
      </c>
      <c r="R265" s="201">
        <v>50891.0</v>
      </c>
      <c r="S265" s="201">
        <v>51257.0</v>
      </c>
      <c r="T265" s="201">
        <v>51622.0</v>
      </c>
      <c r="U265" s="201">
        <v>51987.0</v>
      </c>
      <c r="V265" s="201">
        <v>52352.0</v>
      </c>
      <c r="W265" s="201">
        <v>52718.0</v>
      </c>
      <c r="X265" s="201">
        <v>53083.0</v>
      </c>
      <c r="Y265" s="201">
        <v>53448.0</v>
      </c>
      <c r="Z265" s="201">
        <v>53813.0</v>
      </c>
      <c r="AA265" s="201">
        <v>54179.0</v>
      </c>
      <c r="AB265" s="201">
        <v>54544.0</v>
      </c>
      <c r="AC265" s="201">
        <v>54909.0</v>
      </c>
      <c r="AD265" s="201">
        <v>55274.0</v>
      </c>
      <c r="AE265" s="201">
        <v>55640.0</v>
      </c>
      <c r="AF265" s="201">
        <v>56005.0</v>
      </c>
      <c r="AG265" s="201">
        <v>56370.0</v>
      </c>
      <c r="AH265" s="201">
        <v>56735.0</v>
      </c>
      <c r="AI265" s="201">
        <v>57101.0</v>
      </c>
      <c r="AJ265" s="201">
        <v>57466.0</v>
      </c>
      <c r="AK265" s="201">
        <v>57831.0</v>
      </c>
      <c r="AL265" s="201">
        <v>58196.0</v>
      </c>
      <c r="AM265" s="193">
        <v>58562.0</v>
      </c>
      <c r="AN265" s="193">
        <v>58927.0</v>
      </c>
      <c r="AO265" s="193">
        <v>59292.0</v>
      </c>
      <c r="AP265" s="193">
        <v>59657.0</v>
      </c>
      <c r="AQ265" s="193">
        <v>60023.0</v>
      </c>
      <c r="AR265" s="193">
        <v>60388.0</v>
      </c>
      <c r="AS265" s="193">
        <v>60753.0</v>
      </c>
      <c r="AT265" s="193">
        <v>61118.0</v>
      </c>
      <c r="AU265" s="193">
        <v>61484.0</v>
      </c>
      <c r="AV265" s="193">
        <v>61849.0</v>
      </c>
      <c r="AW265" s="193">
        <v>62214.0</v>
      </c>
      <c r="AX265" s="193">
        <v>62579.0</v>
      </c>
      <c r="AY265" s="193">
        <v>62945.0</v>
      </c>
      <c r="AZ265" s="193">
        <v>63310.0</v>
      </c>
    </row>
    <row r="266">
      <c r="A266" s="168"/>
      <c r="B266" s="242" t="s">
        <v>400</v>
      </c>
      <c r="C266" s="168"/>
      <c r="D266" s="236">
        <v>0.0</v>
      </c>
      <c r="E266" s="203">
        <f t="shared" ref="E266:AZ266" si="40">if(RIGHT(E$259,4)&lt;=RIGHT($C$255,4),D266+E261,0)</f>
        <v>2160</v>
      </c>
      <c r="F266" s="203">
        <f t="shared" si="40"/>
        <v>4363.2</v>
      </c>
      <c r="G266" s="203">
        <f t="shared" si="40"/>
        <v>6610.464</v>
      </c>
      <c r="H266" s="203">
        <f t="shared" si="40"/>
        <v>8902.67328</v>
      </c>
      <c r="I266" s="203">
        <f t="shared" si="40"/>
        <v>11240.72675</v>
      </c>
      <c r="J266" s="203">
        <f t="shared" si="40"/>
        <v>13625.54128</v>
      </c>
      <c r="K266" s="203">
        <f t="shared" si="40"/>
        <v>16058.05211</v>
      </c>
      <c r="L266" s="203">
        <f t="shared" si="40"/>
        <v>18539.21315</v>
      </c>
      <c r="M266" s="203">
        <f t="shared" si="40"/>
        <v>21069.99741</v>
      </c>
      <c r="N266" s="203">
        <f t="shared" si="40"/>
        <v>23651.39736</v>
      </c>
      <c r="O266" s="203">
        <f t="shared" si="40"/>
        <v>26284.42531</v>
      </c>
      <c r="P266" s="203">
        <f t="shared" si="40"/>
        <v>28970.11381</v>
      </c>
      <c r="Q266" s="203">
        <f t="shared" si="40"/>
        <v>31709.51609</v>
      </c>
      <c r="R266" s="203">
        <f t="shared" si="40"/>
        <v>34503.70641</v>
      </c>
      <c r="S266" s="203">
        <f t="shared" si="40"/>
        <v>37353.78054</v>
      </c>
      <c r="T266" s="203">
        <f t="shared" si="40"/>
        <v>40260.85615</v>
      </c>
      <c r="U266" s="203">
        <f t="shared" si="40"/>
        <v>43226.07327</v>
      </c>
      <c r="V266" s="203">
        <f t="shared" si="40"/>
        <v>46250.59474</v>
      </c>
      <c r="W266" s="203">
        <f t="shared" si="40"/>
        <v>49335.60663</v>
      </c>
      <c r="X266" s="203">
        <f t="shared" si="40"/>
        <v>52482.31877</v>
      </c>
      <c r="Y266" s="203">
        <f t="shared" si="40"/>
        <v>55691.96514</v>
      </c>
      <c r="Z266" s="203">
        <f t="shared" si="40"/>
        <v>58965.80444</v>
      </c>
      <c r="AA266" s="203">
        <f t="shared" si="40"/>
        <v>62305.12053</v>
      </c>
      <c r="AB266" s="203">
        <f t="shared" si="40"/>
        <v>65711.22294</v>
      </c>
      <c r="AC266" s="203">
        <f t="shared" si="40"/>
        <v>69185.4474</v>
      </c>
      <c r="AD266" s="203">
        <f t="shared" si="40"/>
        <v>72729.15635</v>
      </c>
      <c r="AE266" s="203">
        <f t="shared" si="40"/>
        <v>76343.73948</v>
      </c>
      <c r="AF266" s="203">
        <f t="shared" si="40"/>
        <v>80030.61427</v>
      </c>
      <c r="AG266" s="203">
        <f t="shared" si="40"/>
        <v>83791.22655</v>
      </c>
      <c r="AH266" s="203">
        <f t="shared" si="40"/>
        <v>87627.05108</v>
      </c>
      <c r="AI266" s="203">
        <f t="shared" si="40"/>
        <v>91539.5921</v>
      </c>
      <c r="AJ266" s="203">
        <f t="shared" si="40"/>
        <v>95530.38395</v>
      </c>
      <c r="AK266" s="203">
        <f t="shared" si="40"/>
        <v>99600.99163</v>
      </c>
      <c r="AL266" s="203">
        <f t="shared" si="40"/>
        <v>103753.0115</v>
      </c>
      <c r="AM266" s="203">
        <f t="shared" si="40"/>
        <v>107988.0717</v>
      </c>
      <c r="AN266" s="203">
        <f t="shared" si="40"/>
        <v>112307.8331</v>
      </c>
      <c r="AO266" s="203">
        <f t="shared" si="40"/>
        <v>0</v>
      </c>
      <c r="AP266" s="203">
        <f t="shared" si="40"/>
        <v>0</v>
      </c>
      <c r="AQ266" s="203">
        <f t="shared" si="40"/>
        <v>0</v>
      </c>
      <c r="AR266" s="203">
        <f t="shared" si="40"/>
        <v>0</v>
      </c>
      <c r="AS266" s="203">
        <f t="shared" si="40"/>
        <v>0</v>
      </c>
      <c r="AT266" s="203">
        <f t="shared" si="40"/>
        <v>0</v>
      </c>
      <c r="AU266" s="203">
        <f t="shared" si="40"/>
        <v>0</v>
      </c>
      <c r="AV266" s="203">
        <f t="shared" si="40"/>
        <v>0</v>
      </c>
      <c r="AW266" s="203">
        <f t="shared" si="40"/>
        <v>0</v>
      </c>
      <c r="AX266" s="203">
        <f t="shared" si="40"/>
        <v>0</v>
      </c>
      <c r="AY266" s="203">
        <f t="shared" si="40"/>
        <v>0</v>
      </c>
      <c r="AZ266" s="203">
        <f t="shared" si="40"/>
        <v>0</v>
      </c>
    </row>
    <row r="267">
      <c r="A267" s="168"/>
      <c r="B267" s="242" t="s">
        <v>401</v>
      </c>
      <c r="C267" s="168"/>
      <c r="D267" s="199">
        <f t="shared" ref="D267:AZ267" si="41">D266</f>
        <v>0</v>
      </c>
      <c r="E267" s="199">
        <f t="shared" si="41"/>
        <v>2160</v>
      </c>
      <c r="F267" s="199">
        <f t="shared" si="41"/>
        <v>4363.2</v>
      </c>
      <c r="G267" s="199">
        <f t="shared" si="41"/>
        <v>6610.464</v>
      </c>
      <c r="H267" s="199">
        <f t="shared" si="41"/>
        <v>8902.67328</v>
      </c>
      <c r="I267" s="199">
        <f t="shared" si="41"/>
        <v>11240.72675</v>
      </c>
      <c r="J267" s="199">
        <f t="shared" si="41"/>
        <v>13625.54128</v>
      </c>
      <c r="K267" s="199">
        <f t="shared" si="41"/>
        <v>16058.05211</v>
      </c>
      <c r="L267" s="199">
        <f t="shared" si="41"/>
        <v>18539.21315</v>
      </c>
      <c r="M267" s="199">
        <f t="shared" si="41"/>
        <v>21069.99741</v>
      </c>
      <c r="N267" s="199">
        <f t="shared" si="41"/>
        <v>23651.39736</v>
      </c>
      <c r="O267" s="199">
        <f t="shared" si="41"/>
        <v>26284.42531</v>
      </c>
      <c r="P267" s="199">
        <f t="shared" si="41"/>
        <v>28970.11381</v>
      </c>
      <c r="Q267" s="199">
        <f t="shared" si="41"/>
        <v>31709.51609</v>
      </c>
      <c r="R267" s="199">
        <f t="shared" si="41"/>
        <v>34503.70641</v>
      </c>
      <c r="S267" s="199">
        <f t="shared" si="41"/>
        <v>37353.78054</v>
      </c>
      <c r="T267" s="199">
        <f t="shared" si="41"/>
        <v>40260.85615</v>
      </c>
      <c r="U267" s="199">
        <f t="shared" si="41"/>
        <v>43226.07327</v>
      </c>
      <c r="V267" s="199">
        <f t="shared" si="41"/>
        <v>46250.59474</v>
      </c>
      <c r="W267" s="199">
        <f t="shared" si="41"/>
        <v>49335.60663</v>
      </c>
      <c r="X267" s="199">
        <f t="shared" si="41"/>
        <v>52482.31877</v>
      </c>
      <c r="Y267" s="199">
        <f t="shared" si="41"/>
        <v>55691.96514</v>
      </c>
      <c r="Z267" s="199">
        <f t="shared" si="41"/>
        <v>58965.80444</v>
      </c>
      <c r="AA267" s="199">
        <f t="shared" si="41"/>
        <v>62305.12053</v>
      </c>
      <c r="AB267" s="199">
        <f t="shared" si="41"/>
        <v>65711.22294</v>
      </c>
      <c r="AC267" s="199">
        <f t="shared" si="41"/>
        <v>69185.4474</v>
      </c>
      <c r="AD267" s="199">
        <f t="shared" si="41"/>
        <v>72729.15635</v>
      </c>
      <c r="AE267" s="199">
        <f t="shared" si="41"/>
        <v>76343.73948</v>
      </c>
      <c r="AF267" s="199">
        <f t="shared" si="41"/>
        <v>80030.61427</v>
      </c>
      <c r="AG267" s="199">
        <f t="shared" si="41"/>
        <v>83791.22655</v>
      </c>
      <c r="AH267" s="199">
        <f t="shared" si="41"/>
        <v>87627.05108</v>
      </c>
      <c r="AI267" s="199">
        <f t="shared" si="41"/>
        <v>91539.5921</v>
      </c>
      <c r="AJ267" s="199">
        <f t="shared" si="41"/>
        <v>95530.38395</v>
      </c>
      <c r="AK267" s="199">
        <f t="shared" si="41"/>
        <v>99600.99163</v>
      </c>
      <c r="AL267" s="199">
        <f t="shared" si="41"/>
        <v>103753.0115</v>
      </c>
      <c r="AM267" s="199">
        <f t="shared" si="41"/>
        <v>107988.0717</v>
      </c>
      <c r="AN267" s="199">
        <f t="shared" si="41"/>
        <v>112307.8331</v>
      </c>
      <c r="AO267" s="199">
        <f t="shared" si="41"/>
        <v>0</v>
      </c>
      <c r="AP267" s="199">
        <f t="shared" si="41"/>
        <v>0</v>
      </c>
      <c r="AQ267" s="199">
        <f t="shared" si="41"/>
        <v>0</v>
      </c>
      <c r="AR267" s="199">
        <f t="shared" si="41"/>
        <v>0</v>
      </c>
      <c r="AS267" s="199">
        <f t="shared" si="41"/>
        <v>0</v>
      </c>
      <c r="AT267" s="199">
        <f t="shared" si="41"/>
        <v>0</v>
      </c>
      <c r="AU267" s="199">
        <f t="shared" si="41"/>
        <v>0</v>
      </c>
      <c r="AV267" s="199">
        <f t="shared" si="41"/>
        <v>0</v>
      </c>
      <c r="AW267" s="199">
        <f t="shared" si="41"/>
        <v>0</v>
      </c>
      <c r="AX267" s="199">
        <f t="shared" si="41"/>
        <v>0</v>
      </c>
      <c r="AY267" s="199">
        <f t="shared" si="41"/>
        <v>0</v>
      </c>
      <c r="AZ267" s="199">
        <f t="shared" si="41"/>
        <v>0</v>
      </c>
    </row>
    <row r="268">
      <c r="A268" s="168"/>
      <c r="B268" s="168"/>
      <c r="C268" s="168"/>
      <c r="D268" s="209"/>
      <c r="E268" s="209"/>
      <c r="F268" s="209"/>
      <c r="G268" s="209"/>
      <c r="H268" s="209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  <c r="AC268" s="266"/>
      <c r="AD268" s="266"/>
      <c r="AE268" s="266"/>
      <c r="AF268" s="266"/>
      <c r="AG268" s="266"/>
      <c r="AH268" s="266"/>
      <c r="AI268" s="266"/>
      <c r="AJ268" s="266"/>
      <c r="AK268" s="266"/>
      <c r="AL268" s="266"/>
      <c r="AM268" s="266"/>
      <c r="AN268" s="266"/>
      <c r="AO268" s="266"/>
      <c r="AP268" s="266"/>
      <c r="AQ268" s="266"/>
      <c r="AR268" s="266"/>
      <c r="AS268" s="266"/>
      <c r="AT268" s="266"/>
      <c r="AU268" s="266"/>
      <c r="AV268" s="266"/>
      <c r="AW268" s="266"/>
      <c r="AX268" s="266"/>
      <c r="AY268" s="266"/>
      <c r="AZ268" s="266"/>
    </row>
    <row r="269">
      <c r="A269" s="168"/>
      <c r="B269" s="139" t="s">
        <v>309</v>
      </c>
      <c r="C269" s="168"/>
      <c r="D269" s="209"/>
      <c r="E269" s="209"/>
      <c r="F269" s="209"/>
      <c r="G269" s="209"/>
      <c r="H269" s="209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  <c r="AC269" s="266"/>
      <c r="AD269" s="266"/>
      <c r="AE269" s="266"/>
      <c r="AF269" s="266"/>
      <c r="AG269" s="266"/>
      <c r="AH269" s="266"/>
      <c r="AI269" s="266"/>
      <c r="AJ269" s="266"/>
      <c r="AK269" s="266"/>
      <c r="AL269" s="266"/>
      <c r="AM269" s="266"/>
      <c r="AN269" s="266"/>
      <c r="AO269" s="266"/>
      <c r="AP269" s="266"/>
      <c r="AQ269" s="266"/>
      <c r="AR269" s="266"/>
      <c r="AS269" s="266"/>
      <c r="AT269" s="266"/>
      <c r="AU269" s="266"/>
      <c r="AV269" s="266"/>
      <c r="AW269" s="266"/>
      <c r="AX269" s="266"/>
      <c r="AY269" s="266"/>
      <c r="AZ269" s="266"/>
    </row>
    <row r="270">
      <c r="A270" s="168"/>
      <c r="B270" s="168"/>
      <c r="C270" s="168"/>
      <c r="D270" s="267" t="s">
        <v>344</v>
      </c>
      <c r="E270" s="21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  <c r="AB270" s="168"/>
      <c r="AC270" s="168"/>
      <c r="AD270" s="168"/>
      <c r="AE270" s="168"/>
      <c r="AF270" s="168"/>
      <c r="AG270" s="168"/>
      <c r="AH270" s="168"/>
      <c r="AI270" s="168"/>
      <c r="AJ270" s="168"/>
      <c r="AK270" s="168"/>
      <c r="AL270" s="168"/>
      <c r="AM270" s="168"/>
      <c r="AN270" s="168"/>
      <c r="AO270" s="168"/>
      <c r="AP270" s="168"/>
      <c r="AQ270" s="168"/>
      <c r="AR270" s="168"/>
      <c r="AS270" s="168"/>
      <c r="AT270" s="168"/>
      <c r="AU270" s="168"/>
      <c r="AV270" s="168"/>
      <c r="AW270" s="168"/>
      <c r="AX270" s="168"/>
      <c r="AY270" s="168"/>
      <c r="AZ270" s="168"/>
    </row>
    <row r="271">
      <c r="A271" s="168"/>
      <c r="B271" s="168"/>
      <c r="C271" s="212"/>
      <c r="D271" s="268" t="s">
        <v>345</v>
      </c>
      <c r="E271" s="269" t="s">
        <v>251</v>
      </c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  <c r="AB271" s="168"/>
      <c r="AC271" s="168"/>
      <c r="AD271" s="168"/>
      <c r="AE271" s="168"/>
      <c r="AF271" s="168"/>
      <c r="AG271" s="168"/>
      <c r="AH271" s="168"/>
      <c r="AI271" s="168"/>
      <c r="AJ271" s="168"/>
      <c r="AK271" s="168"/>
      <c r="AL271" s="168"/>
      <c r="AM271" s="168"/>
      <c r="AN271" s="168"/>
      <c r="AO271" s="168"/>
      <c r="AP271" s="168"/>
      <c r="AQ271" s="168"/>
      <c r="AR271" s="168"/>
      <c r="AS271" s="168"/>
      <c r="AT271" s="168"/>
      <c r="AU271" s="168"/>
      <c r="AV271" s="168"/>
      <c r="AW271" s="168"/>
      <c r="AX271" s="168"/>
      <c r="AY271" s="168"/>
      <c r="AZ271" s="168"/>
    </row>
    <row r="272">
      <c r="A272" s="168"/>
      <c r="B272" s="175" t="str">
        <f>"1 year ("&amp;(Year(today())+1)&amp;")"</f>
        <v>1 year (2026)</v>
      </c>
      <c r="C272" s="215"/>
      <c r="D272" s="219">
        <f>E267</f>
        <v>2160</v>
      </c>
      <c r="E272" s="217" t="str">
        <f t="shared" ref="E272:E275" si="42">D272/$H65</f>
        <v>#DIV/0!</v>
      </c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  <c r="AB272" s="168"/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  <c r="AT272" s="168"/>
      <c r="AU272" s="168"/>
      <c r="AV272" s="168"/>
      <c r="AW272" s="168"/>
      <c r="AX272" s="168"/>
      <c r="AY272" s="168"/>
      <c r="AZ272" s="168"/>
    </row>
    <row r="273">
      <c r="A273" s="168"/>
      <c r="B273" s="175" t="str">
        <f>"5 years ("&amp;(Year(today())+5)&amp;")"</f>
        <v>5 years (2030)</v>
      </c>
      <c r="C273" s="218"/>
      <c r="D273" s="219">
        <f>I267</f>
        <v>11240.72675</v>
      </c>
      <c r="E273" s="217" t="str">
        <f t="shared" si="42"/>
        <v>#DIV/0!</v>
      </c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  <c r="AB273" s="168"/>
      <c r="AC273" s="168"/>
      <c r="AD273" s="168"/>
      <c r="AE273" s="168"/>
      <c r="AF273" s="168"/>
      <c r="AG273" s="168"/>
      <c r="AH273" s="168"/>
      <c r="AI273" s="168"/>
      <c r="AJ273" s="168"/>
      <c r="AK273" s="168"/>
      <c r="AL273" s="168"/>
      <c r="AM273" s="168"/>
      <c r="AN273" s="168"/>
      <c r="AO273" s="168"/>
      <c r="AP273" s="168"/>
      <c r="AQ273" s="168"/>
      <c r="AR273" s="168"/>
      <c r="AS273" s="168"/>
      <c r="AT273" s="168"/>
      <c r="AU273" s="168"/>
      <c r="AV273" s="168"/>
      <c r="AW273" s="168"/>
      <c r="AX273" s="168"/>
      <c r="AY273" s="168"/>
      <c r="AZ273" s="168"/>
    </row>
    <row r="274">
      <c r="A274" s="168"/>
      <c r="B274" s="175" t="str">
        <f>"10 years ("&amp;(Year(today())+10)&amp;")"</f>
        <v>10 years (2035)</v>
      </c>
      <c r="C274" s="218"/>
      <c r="D274" s="219">
        <f>N267</f>
        <v>23651.39736</v>
      </c>
      <c r="E274" s="217" t="str">
        <f t="shared" si="42"/>
        <v>#DIV/0!</v>
      </c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  <c r="AB274" s="168"/>
      <c r="AC274" s="168"/>
      <c r="AD274" s="168"/>
      <c r="AE274" s="168"/>
      <c r="AF274" s="168"/>
      <c r="AG274" s="168"/>
      <c r="AH274" s="168"/>
      <c r="AI274" s="168"/>
      <c r="AJ274" s="168"/>
      <c r="AK274" s="168"/>
      <c r="AL274" s="168"/>
      <c r="AM274" s="168"/>
      <c r="AN274" s="168"/>
      <c r="AO274" s="168"/>
      <c r="AP274" s="168"/>
      <c r="AQ274" s="168"/>
      <c r="AR274" s="168"/>
      <c r="AS274" s="168"/>
      <c r="AT274" s="168"/>
      <c r="AU274" s="168"/>
      <c r="AV274" s="168"/>
      <c r="AW274" s="168"/>
      <c r="AX274" s="168"/>
      <c r="AY274" s="168"/>
      <c r="AZ274" s="168"/>
    </row>
    <row r="275">
      <c r="A275" s="168"/>
      <c r="B275" s="175" t="str">
        <f>"20 years ("&amp;(Year(today())+20)&amp;")"</f>
        <v>20 years (2045)</v>
      </c>
      <c r="C275" s="222"/>
      <c r="D275" s="219">
        <f>X267</f>
        <v>52482.31877</v>
      </c>
      <c r="E275" s="217" t="str">
        <f t="shared" si="42"/>
        <v>#DIV/0!</v>
      </c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  <c r="AB275" s="168"/>
      <c r="AC275" s="168"/>
      <c r="AD275" s="168"/>
      <c r="AE275" s="168"/>
      <c r="AF275" s="168"/>
      <c r="AG275" s="168"/>
      <c r="AH275" s="168"/>
      <c r="AI275" s="168"/>
      <c r="AJ275" s="168"/>
      <c r="AK275" s="168"/>
      <c r="AL275" s="168"/>
      <c r="AM275" s="168"/>
      <c r="AN275" s="168"/>
      <c r="AO275" s="168"/>
      <c r="AP275" s="168"/>
      <c r="AQ275" s="168"/>
      <c r="AR275" s="168"/>
      <c r="AS275" s="168"/>
      <c r="AT275" s="168"/>
      <c r="AU275" s="168"/>
      <c r="AV275" s="168"/>
      <c r="AW275" s="168"/>
      <c r="AX275" s="168"/>
      <c r="AY275" s="168"/>
      <c r="AZ275" s="168"/>
    </row>
    <row r="276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  <c r="AB276" s="168"/>
      <c r="AC276" s="168"/>
      <c r="AD276" s="168"/>
      <c r="AE276" s="168"/>
      <c r="AF276" s="168"/>
      <c r="AG276" s="168"/>
      <c r="AH276" s="168"/>
      <c r="AI276" s="168"/>
      <c r="AJ276" s="168"/>
      <c r="AK276" s="168"/>
      <c r="AL276" s="168"/>
      <c r="AM276" s="168"/>
      <c r="AN276" s="168"/>
      <c r="AO276" s="168"/>
      <c r="AP276" s="168"/>
      <c r="AQ276" s="168"/>
      <c r="AR276" s="168"/>
      <c r="AS276" s="168"/>
      <c r="AT276" s="168"/>
      <c r="AU276" s="168"/>
      <c r="AV276" s="168"/>
      <c r="AW276" s="168"/>
      <c r="AX276" s="168"/>
      <c r="AY276" s="168"/>
      <c r="AZ276" s="168"/>
    </row>
    <row r="277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  <c r="AB277" s="168"/>
      <c r="AC277" s="168"/>
      <c r="AD277" s="168"/>
      <c r="AE277" s="168"/>
      <c r="AF277" s="168"/>
      <c r="AG277" s="168"/>
      <c r="AH277" s="168"/>
      <c r="AI277" s="168"/>
      <c r="AJ277" s="168"/>
      <c r="AK277" s="168"/>
      <c r="AL277" s="168"/>
      <c r="AM277" s="168"/>
      <c r="AN277" s="168"/>
      <c r="AO277" s="168"/>
      <c r="AP277" s="168"/>
      <c r="AQ277" s="168"/>
      <c r="AR277" s="168"/>
      <c r="AS277" s="168"/>
      <c r="AT277" s="168"/>
      <c r="AU277" s="168"/>
      <c r="AV277" s="168"/>
      <c r="AW277" s="168"/>
      <c r="AX277" s="168"/>
      <c r="AY277" s="168"/>
      <c r="AZ277" s="168"/>
    </row>
    <row r="278">
      <c r="A278" s="252" t="s">
        <v>402</v>
      </c>
      <c r="B278" s="252" t="s">
        <v>403</v>
      </c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  <c r="AB278" s="168"/>
      <c r="AC278" s="168"/>
      <c r="AD278" s="168"/>
      <c r="AE278" s="168"/>
      <c r="AF278" s="168"/>
      <c r="AG278" s="168"/>
      <c r="AH278" s="168"/>
      <c r="AI278" s="168"/>
      <c r="AJ278" s="168"/>
      <c r="AK278" s="168"/>
      <c r="AL278" s="168"/>
      <c r="AM278" s="168"/>
      <c r="AN278" s="168"/>
      <c r="AO278" s="168"/>
      <c r="AP278" s="168"/>
      <c r="AQ278" s="168"/>
      <c r="AR278" s="168"/>
      <c r="AS278" s="168"/>
      <c r="AT278" s="168"/>
      <c r="AU278" s="168"/>
      <c r="AV278" s="168"/>
      <c r="AW278" s="168"/>
      <c r="AX278" s="168"/>
      <c r="AY278" s="168"/>
      <c r="AZ278" s="168"/>
    </row>
    <row r="279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  <c r="AB279" s="168"/>
      <c r="AC279" s="168"/>
      <c r="AD279" s="168"/>
      <c r="AE279" s="168"/>
      <c r="AF279" s="168"/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168"/>
      <c r="AT279" s="168"/>
      <c r="AU279" s="168"/>
      <c r="AV279" s="168"/>
      <c r="AW279" s="168"/>
      <c r="AX279" s="168"/>
      <c r="AY279" s="168"/>
      <c r="AZ279" s="168"/>
    </row>
    <row r="280">
      <c r="A280" s="168"/>
      <c r="B280" s="139" t="s">
        <v>280</v>
      </c>
      <c r="C280" s="174" t="s">
        <v>404</v>
      </c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  <c r="AB280" s="168"/>
      <c r="AC280" s="168"/>
      <c r="AD280" s="168"/>
      <c r="AE280" s="168"/>
      <c r="AF280" s="168"/>
      <c r="AG280" s="168"/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168"/>
      <c r="AT280" s="168"/>
      <c r="AU280" s="168"/>
      <c r="AV280" s="168"/>
      <c r="AW280" s="168"/>
      <c r="AX280" s="168"/>
      <c r="AY280" s="168"/>
      <c r="AZ280" s="168"/>
    </row>
    <row r="28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  <c r="AB281" s="168"/>
      <c r="AC281" s="168"/>
      <c r="AD281" s="168"/>
      <c r="AE281" s="168"/>
      <c r="AF281" s="168"/>
      <c r="AG281" s="168"/>
      <c r="AH281" s="168"/>
      <c r="AI281" s="168"/>
      <c r="AJ281" s="168"/>
      <c r="AK281" s="168"/>
      <c r="AL281" s="168"/>
      <c r="AM281" s="168"/>
      <c r="AN281" s="168"/>
      <c r="AO281" s="168"/>
      <c r="AP281" s="168"/>
      <c r="AQ281" s="168"/>
      <c r="AR281" s="168"/>
      <c r="AS281" s="168"/>
      <c r="AT281" s="168"/>
      <c r="AU281" s="168"/>
      <c r="AV281" s="168"/>
      <c r="AW281" s="168"/>
      <c r="AX281" s="168"/>
      <c r="AY281" s="168"/>
      <c r="AZ281" s="168"/>
    </row>
    <row r="282">
      <c r="A282" s="168"/>
      <c r="B282" s="270" t="s">
        <v>314</v>
      </c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  <c r="AB282" s="168"/>
      <c r="AC282" s="168"/>
      <c r="AD282" s="168"/>
      <c r="AE282" s="168"/>
      <c r="AF282" s="168"/>
      <c r="AG282" s="168"/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168"/>
      <c r="AT282" s="168"/>
      <c r="AU282" s="168"/>
      <c r="AV282" s="168"/>
      <c r="AW282" s="168"/>
      <c r="AX282" s="168"/>
      <c r="AY282" s="168"/>
      <c r="AZ282" s="168"/>
    </row>
    <row r="283">
      <c r="A283" s="168"/>
      <c r="B283" s="270" t="s">
        <v>316</v>
      </c>
      <c r="C283" s="170" t="s">
        <v>319</v>
      </c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  <c r="AB283" s="168"/>
      <c r="AC283" s="168"/>
      <c r="AD283" s="168"/>
      <c r="AE283" s="168"/>
      <c r="AF283" s="168"/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168"/>
      <c r="AT283" s="168"/>
      <c r="AU283" s="168"/>
      <c r="AV283" s="168"/>
      <c r="AW283" s="168"/>
      <c r="AX283" s="168"/>
      <c r="AY283" s="168"/>
      <c r="AZ283" s="168"/>
    </row>
    <row r="284">
      <c r="A284" s="168"/>
      <c r="B284" s="270" t="s">
        <v>318</v>
      </c>
      <c r="C284" s="170" t="s">
        <v>317</v>
      </c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  <c r="AB284" s="168"/>
      <c r="AC284" s="168"/>
      <c r="AD284" s="168"/>
      <c r="AE284" s="168"/>
      <c r="AF284" s="168"/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168"/>
      <c r="AT284" s="168"/>
      <c r="AU284" s="168"/>
      <c r="AV284" s="168"/>
      <c r="AW284" s="168"/>
      <c r="AX284" s="168"/>
      <c r="AY284" s="168"/>
      <c r="AZ284" s="168"/>
    </row>
    <row r="285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  <c r="AB285" s="168"/>
      <c r="AC285" s="168"/>
      <c r="AD285" s="168"/>
      <c r="AE285" s="168"/>
      <c r="AF285" s="168"/>
      <c r="AG285" s="168"/>
      <c r="AH285" s="168"/>
      <c r="AI285" s="168"/>
      <c r="AJ285" s="168"/>
      <c r="AK285" s="168"/>
      <c r="AL285" s="168"/>
      <c r="AM285" s="168"/>
      <c r="AN285" s="168"/>
      <c r="AO285" s="168"/>
      <c r="AP285" s="168"/>
      <c r="AQ285" s="168"/>
      <c r="AR285" s="168"/>
      <c r="AS285" s="168"/>
      <c r="AT285" s="168"/>
      <c r="AU285" s="168"/>
      <c r="AV285" s="168"/>
      <c r="AW285" s="168"/>
      <c r="AX285" s="168"/>
      <c r="AY285" s="168"/>
      <c r="AZ285" s="168"/>
    </row>
    <row r="286">
      <c r="A286" s="168"/>
      <c r="B286" s="168"/>
      <c r="C286" s="192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  <c r="AB286" s="168"/>
      <c r="AC286" s="168"/>
      <c r="AD286" s="168"/>
      <c r="AE286" s="168"/>
      <c r="AF286" s="168"/>
      <c r="AG286" s="168"/>
      <c r="AH286" s="168"/>
      <c r="AI286" s="168"/>
      <c r="AJ286" s="168"/>
      <c r="AK286" s="168"/>
      <c r="AL286" s="168"/>
      <c r="AM286" s="168"/>
      <c r="AN286" s="168"/>
      <c r="AO286" s="168"/>
      <c r="AP286" s="168"/>
      <c r="AQ286" s="168"/>
      <c r="AR286" s="168"/>
      <c r="AS286" s="168"/>
      <c r="AT286" s="168"/>
      <c r="AU286" s="168"/>
      <c r="AV286" s="168"/>
      <c r="AW286" s="168"/>
      <c r="AX286" s="168"/>
      <c r="AY286" s="168"/>
      <c r="AZ286" s="168"/>
    </row>
    <row r="287">
      <c r="A287" s="168"/>
      <c r="B287" s="139" t="s">
        <v>336</v>
      </c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  <c r="AB287" s="168"/>
      <c r="AC287" s="168"/>
      <c r="AD287" s="168"/>
      <c r="AE287" s="168"/>
      <c r="AF287" s="168"/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168"/>
      <c r="AT287" s="168"/>
      <c r="AU287" s="168"/>
      <c r="AV287" s="168"/>
      <c r="AW287" s="168"/>
      <c r="AX287" s="168"/>
      <c r="AY287" s="168"/>
      <c r="AZ287" s="168"/>
    </row>
    <row r="288">
      <c r="A288" s="168"/>
      <c r="B288" s="168"/>
      <c r="C288" s="168"/>
      <c r="D288" s="85" t="s">
        <v>285</v>
      </c>
      <c r="E288" s="193">
        <v>46143.0</v>
      </c>
      <c r="F288" s="193">
        <v>46508.0</v>
      </c>
      <c r="G288" s="193">
        <v>46874.0</v>
      </c>
      <c r="H288" s="193">
        <v>47239.0</v>
      </c>
      <c r="I288" s="193">
        <v>47604.0</v>
      </c>
      <c r="J288" s="193">
        <v>47969.0</v>
      </c>
      <c r="K288" s="193">
        <v>48335.0</v>
      </c>
      <c r="L288" s="193">
        <v>48700.0</v>
      </c>
      <c r="M288" s="193">
        <v>49065.0</v>
      </c>
      <c r="N288" s="193">
        <v>49430.0</v>
      </c>
      <c r="O288" s="193">
        <v>49796.0</v>
      </c>
      <c r="P288" s="193">
        <v>50161.0</v>
      </c>
      <c r="Q288" s="193">
        <v>50526.0</v>
      </c>
      <c r="R288" s="193">
        <v>50891.0</v>
      </c>
      <c r="S288" s="193">
        <v>51257.0</v>
      </c>
      <c r="T288" s="193">
        <v>51622.0</v>
      </c>
      <c r="U288" s="193">
        <v>51987.0</v>
      </c>
      <c r="V288" s="193">
        <v>52352.0</v>
      </c>
      <c r="W288" s="193">
        <v>52718.0</v>
      </c>
      <c r="X288" s="193">
        <v>53083.0</v>
      </c>
      <c r="Y288" s="193">
        <v>53448.0</v>
      </c>
      <c r="Z288" s="193">
        <v>53813.0</v>
      </c>
      <c r="AA288" s="193">
        <v>54179.0</v>
      </c>
      <c r="AB288" s="193">
        <v>54544.0</v>
      </c>
      <c r="AC288" s="193">
        <v>54909.0</v>
      </c>
      <c r="AD288" s="193">
        <v>55274.0</v>
      </c>
      <c r="AE288" s="193">
        <v>55640.0</v>
      </c>
      <c r="AF288" s="193">
        <v>56005.0</v>
      </c>
      <c r="AG288" s="193">
        <v>56370.0</v>
      </c>
      <c r="AH288" s="193">
        <v>56735.0</v>
      </c>
      <c r="AI288" s="193">
        <v>57101.0</v>
      </c>
      <c r="AJ288" s="193">
        <v>57466.0</v>
      </c>
      <c r="AK288" s="193">
        <v>57831.0</v>
      </c>
      <c r="AL288" s="193">
        <v>58196.0</v>
      </c>
      <c r="AM288" s="193">
        <v>58562.0</v>
      </c>
      <c r="AN288" s="193">
        <v>58927.0</v>
      </c>
      <c r="AO288" s="193">
        <v>59292.0</v>
      </c>
      <c r="AP288" s="193">
        <v>59657.0</v>
      </c>
      <c r="AQ288" s="193">
        <v>60023.0</v>
      </c>
      <c r="AR288" s="193">
        <v>60388.0</v>
      </c>
      <c r="AS288" s="193">
        <v>60753.0</v>
      </c>
      <c r="AT288" s="193">
        <v>61118.0</v>
      </c>
      <c r="AU288" s="193">
        <v>61484.0</v>
      </c>
      <c r="AV288" s="193">
        <v>61849.0</v>
      </c>
      <c r="AW288" s="193">
        <v>62214.0</v>
      </c>
      <c r="AX288" s="193">
        <v>62579.0</v>
      </c>
      <c r="AY288" s="193">
        <v>62945.0</v>
      </c>
      <c r="AZ288" s="193">
        <v>63310.0</v>
      </c>
    </row>
    <row r="289">
      <c r="A289" s="168"/>
      <c r="B289" s="197" t="s">
        <v>405</v>
      </c>
      <c r="C289" s="168"/>
      <c r="D289" s="236">
        <v>0.0</v>
      </c>
      <c r="E289" s="236">
        <v>0.0</v>
      </c>
      <c r="F289" s="236">
        <v>0.0</v>
      </c>
      <c r="G289" s="236">
        <v>0.0</v>
      </c>
      <c r="H289" s="236">
        <v>0.0</v>
      </c>
      <c r="I289" s="236">
        <v>0.0</v>
      </c>
      <c r="J289" s="236">
        <v>0.0</v>
      </c>
      <c r="K289" s="236">
        <v>0.0</v>
      </c>
      <c r="L289" s="236">
        <v>0.0</v>
      </c>
      <c r="M289" s="236">
        <v>0.0</v>
      </c>
      <c r="N289" s="236">
        <v>0.0</v>
      </c>
      <c r="O289" s="236">
        <v>0.0</v>
      </c>
      <c r="P289" s="236">
        <v>0.0</v>
      </c>
      <c r="Q289" s="236">
        <v>0.0</v>
      </c>
      <c r="R289" s="236">
        <v>0.0</v>
      </c>
      <c r="S289" s="236">
        <v>0.0</v>
      </c>
      <c r="T289" s="236">
        <v>0.0</v>
      </c>
      <c r="U289" s="236">
        <v>0.0</v>
      </c>
      <c r="V289" s="236">
        <v>0.0</v>
      </c>
      <c r="W289" s="236">
        <v>0.0</v>
      </c>
      <c r="X289" s="236">
        <v>0.0</v>
      </c>
      <c r="Y289" s="236">
        <v>0.0</v>
      </c>
      <c r="Z289" s="236">
        <v>0.0</v>
      </c>
      <c r="AA289" s="236">
        <v>0.0</v>
      </c>
      <c r="AB289" s="236">
        <v>0.0</v>
      </c>
      <c r="AC289" s="236">
        <v>0.0</v>
      </c>
      <c r="AD289" s="236">
        <v>0.0</v>
      </c>
      <c r="AE289" s="236">
        <v>0.0</v>
      </c>
      <c r="AF289" s="236">
        <v>0.0</v>
      </c>
      <c r="AG289" s="236">
        <v>0.0</v>
      </c>
      <c r="AH289" s="236">
        <v>0.0</v>
      </c>
      <c r="AI289" s="236">
        <v>0.0</v>
      </c>
      <c r="AJ289" s="236">
        <v>0.0</v>
      </c>
      <c r="AK289" s="236">
        <v>0.0</v>
      </c>
      <c r="AL289" s="236">
        <v>0.0</v>
      </c>
      <c r="AM289" s="236">
        <v>0.0</v>
      </c>
      <c r="AN289" s="236">
        <v>0.0</v>
      </c>
      <c r="AO289" s="236">
        <v>0.0</v>
      </c>
      <c r="AP289" s="236">
        <v>0.0</v>
      </c>
      <c r="AQ289" s="236">
        <v>0.0</v>
      </c>
      <c r="AR289" s="236">
        <v>0.0</v>
      </c>
      <c r="AS289" s="236">
        <v>0.0</v>
      </c>
      <c r="AT289" s="236">
        <v>0.0</v>
      </c>
      <c r="AU289" s="236">
        <v>0.0</v>
      </c>
      <c r="AV289" s="236">
        <v>0.0</v>
      </c>
      <c r="AW289" s="236">
        <v>0.0</v>
      </c>
      <c r="AX289" s="236">
        <v>0.0</v>
      </c>
      <c r="AY289" s="236">
        <v>0.0</v>
      </c>
      <c r="AZ289" s="236">
        <v>0.0</v>
      </c>
    </row>
    <row r="290">
      <c r="A290" s="168"/>
      <c r="B290" s="197" t="s">
        <v>406</v>
      </c>
      <c r="C290" s="168"/>
      <c r="D290" s="236">
        <v>0.0</v>
      </c>
      <c r="E290" s="236">
        <v>0.0</v>
      </c>
      <c r="F290" s="236">
        <v>0.0</v>
      </c>
      <c r="G290" s="236">
        <v>0.0</v>
      </c>
      <c r="H290" s="236">
        <v>0.0</v>
      </c>
      <c r="I290" s="236">
        <v>0.0</v>
      </c>
      <c r="J290" s="236">
        <v>0.0</v>
      </c>
      <c r="K290" s="236">
        <v>0.0</v>
      </c>
      <c r="L290" s="236">
        <v>0.0</v>
      </c>
      <c r="M290" s="236">
        <v>0.0</v>
      </c>
      <c r="N290" s="236">
        <v>0.0</v>
      </c>
      <c r="O290" s="236">
        <v>0.0</v>
      </c>
      <c r="P290" s="236">
        <v>0.0</v>
      </c>
      <c r="Q290" s="236">
        <v>0.0</v>
      </c>
      <c r="R290" s="236">
        <v>0.0</v>
      </c>
      <c r="S290" s="236">
        <v>0.0</v>
      </c>
      <c r="T290" s="236">
        <v>0.0</v>
      </c>
      <c r="U290" s="236">
        <v>0.0</v>
      </c>
      <c r="V290" s="236">
        <v>0.0</v>
      </c>
      <c r="W290" s="236">
        <v>0.0</v>
      </c>
      <c r="X290" s="236">
        <v>0.0</v>
      </c>
      <c r="Y290" s="236">
        <v>0.0</v>
      </c>
      <c r="Z290" s="236">
        <v>0.0</v>
      </c>
      <c r="AA290" s="236">
        <v>0.0</v>
      </c>
      <c r="AB290" s="236">
        <v>0.0</v>
      </c>
      <c r="AC290" s="236">
        <v>0.0</v>
      </c>
      <c r="AD290" s="236">
        <v>0.0</v>
      </c>
      <c r="AE290" s="236">
        <v>0.0</v>
      </c>
      <c r="AF290" s="236">
        <v>0.0</v>
      </c>
      <c r="AG290" s="236">
        <v>0.0</v>
      </c>
      <c r="AH290" s="236">
        <v>0.0</v>
      </c>
      <c r="AI290" s="236">
        <v>0.0</v>
      </c>
      <c r="AJ290" s="236">
        <v>0.0</v>
      </c>
      <c r="AK290" s="236">
        <v>0.0</v>
      </c>
      <c r="AL290" s="236">
        <v>0.0</v>
      </c>
      <c r="AM290" s="236">
        <v>0.0</v>
      </c>
      <c r="AN290" s="236">
        <v>0.0</v>
      </c>
      <c r="AO290" s="236">
        <v>0.0</v>
      </c>
      <c r="AP290" s="236">
        <v>0.0</v>
      </c>
      <c r="AQ290" s="236">
        <v>0.0</v>
      </c>
      <c r="AR290" s="236">
        <v>0.0</v>
      </c>
      <c r="AS290" s="236">
        <v>0.0</v>
      </c>
      <c r="AT290" s="236">
        <v>0.0</v>
      </c>
      <c r="AU290" s="236">
        <v>0.0</v>
      </c>
      <c r="AV290" s="236">
        <v>0.0</v>
      </c>
      <c r="AW290" s="236">
        <v>0.0</v>
      </c>
      <c r="AX290" s="236">
        <v>0.0</v>
      </c>
      <c r="AY290" s="236">
        <v>0.0</v>
      </c>
      <c r="AZ290" s="236">
        <v>0.0</v>
      </c>
    </row>
    <row r="291">
      <c r="A291" s="168"/>
      <c r="B291" s="197" t="s">
        <v>407</v>
      </c>
      <c r="C291" s="168"/>
      <c r="D291" s="199">
        <f t="shared" ref="D291:AZ291" si="43">sum(D289:D290)</f>
        <v>0</v>
      </c>
      <c r="E291" s="199">
        <f t="shared" si="43"/>
        <v>0</v>
      </c>
      <c r="F291" s="199">
        <f t="shared" si="43"/>
        <v>0</v>
      </c>
      <c r="G291" s="199">
        <f t="shared" si="43"/>
        <v>0</v>
      </c>
      <c r="H291" s="199">
        <f t="shared" si="43"/>
        <v>0</v>
      </c>
      <c r="I291" s="199">
        <f t="shared" si="43"/>
        <v>0</v>
      </c>
      <c r="J291" s="199">
        <f t="shared" si="43"/>
        <v>0</v>
      </c>
      <c r="K291" s="199">
        <f t="shared" si="43"/>
        <v>0</v>
      </c>
      <c r="L291" s="199">
        <f t="shared" si="43"/>
        <v>0</v>
      </c>
      <c r="M291" s="199">
        <f t="shared" si="43"/>
        <v>0</v>
      </c>
      <c r="N291" s="199">
        <f t="shared" si="43"/>
        <v>0</v>
      </c>
      <c r="O291" s="199">
        <f t="shared" si="43"/>
        <v>0</v>
      </c>
      <c r="P291" s="199">
        <f t="shared" si="43"/>
        <v>0</v>
      </c>
      <c r="Q291" s="199">
        <f t="shared" si="43"/>
        <v>0</v>
      </c>
      <c r="R291" s="199">
        <f t="shared" si="43"/>
        <v>0</v>
      </c>
      <c r="S291" s="199">
        <f t="shared" si="43"/>
        <v>0</v>
      </c>
      <c r="T291" s="199">
        <f t="shared" si="43"/>
        <v>0</v>
      </c>
      <c r="U291" s="199">
        <f t="shared" si="43"/>
        <v>0</v>
      </c>
      <c r="V291" s="199">
        <f t="shared" si="43"/>
        <v>0</v>
      </c>
      <c r="W291" s="199">
        <f t="shared" si="43"/>
        <v>0</v>
      </c>
      <c r="X291" s="199">
        <f t="shared" si="43"/>
        <v>0</v>
      </c>
      <c r="Y291" s="199">
        <f t="shared" si="43"/>
        <v>0</v>
      </c>
      <c r="Z291" s="199">
        <f t="shared" si="43"/>
        <v>0</v>
      </c>
      <c r="AA291" s="199">
        <f t="shared" si="43"/>
        <v>0</v>
      </c>
      <c r="AB291" s="199">
        <f t="shared" si="43"/>
        <v>0</v>
      </c>
      <c r="AC291" s="199">
        <f t="shared" si="43"/>
        <v>0</v>
      </c>
      <c r="AD291" s="199">
        <f t="shared" si="43"/>
        <v>0</v>
      </c>
      <c r="AE291" s="199">
        <f t="shared" si="43"/>
        <v>0</v>
      </c>
      <c r="AF291" s="199">
        <f t="shared" si="43"/>
        <v>0</v>
      </c>
      <c r="AG291" s="199">
        <f t="shared" si="43"/>
        <v>0</v>
      </c>
      <c r="AH291" s="199">
        <f t="shared" si="43"/>
        <v>0</v>
      </c>
      <c r="AI291" s="199">
        <f t="shared" si="43"/>
        <v>0</v>
      </c>
      <c r="AJ291" s="199">
        <f t="shared" si="43"/>
        <v>0</v>
      </c>
      <c r="AK291" s="199">
        <f t="shared" si="43"/>
        <v>0</v>
      </c>
      <c r="AL291" s="199">
        <f t="shared" si="43"/>
        <v>0</v>
      </c>
      <c r="AM291" s="199">
        <f t="shared" si="43"/>
        <v>0</v>
      </c>
      <c r="AN291" s="199">
        <f t="shared" si="43"/>
        <v>0</v>
      </c>
      <c r="AO291" s="199">
        <f t="shared" si="43"/>
        <v>0</v>
      </c>
      <c r="AP291" s="199">
        <f t="shared" si="43"/>
        <v>0</v>
      </c>
      <c r="AQ291" s="199">
        <f t="shared" si="43"/>
        <v>0</v>
      </c>
      <c r="AR291" s="199">
        <f t="shared" si="43"/>
        <v>0</v>
      </c>
      <c r="AS291" s="199">
        <f t="shared" si="43"/>
        <v>0</v>
      </c>
      <c r="AT291" s="199">
        <f t="shared" si="43"/>
        <v>0</v>
      </c>
      <c r="AU291" s="199">
        <f t="shared" si="43"/>
        <v>0</v>
      </c>
      <c r="AV291" s="199">
        <f t="shared" si="43"/>
        <v>0</v>
      </c>
      <c r="AW291" s="199">
        <f t="shared" si="43"/>
        <v>0</v>
      </c>
      <c r="AX291" s="199">
        <f t="shared" si="43"/>
        <v>0</v>
      </c>
      <c r="AY291" s="199">
        <f t="shared" si="43"/>
        <v>0</v>
      </c>
      <c r="AZ291" s="199">
        <f t="shared" si="43"/>
        <v>0</v>
      </c>
    </row>
    <row r="292">
      <c r="A292" s="168"/>
      <c r="B292" s="168"/>
      <c r="C292" s="168"/>
      <c r="D292" s="209"/>
      <c r="E292" s="209"/>
      <c r="F292" s="209"/>
      <c r="G292" s="209"/>
      <c r="H292" s="209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  <c r="AC292" s="266"/>
      <c r="AD292" s="266"/>
      <c r="AE292" s="266"/>
      <c r="AF292" s="266"/>
      <c r="AG292" s="266"/>
      <c r="AH292" s="266"/>
      <c r="AI292" s="266"/>
      <c r="AJ292" s="266"/>
      <c r="AK292" s="266"/>
      <c r="AL292" s="266"/>
      <c r="AM292" s="266"/>
      <c r="AN292" s="266"/>
      <c r="AO292" s="266"/>
      <c r="AP292" s="266"/>
      <c r="AQ292" s="266"/>
      <c r="AR292" s="266"/>
      <c r="AS292" s="266"/>
      <c r="AT292" s="266"/>
      <c r="AU292" s="266"/>
      <c r="AV292" s="266"/>
      <c r="AW292" s="266"/>
      <c r="AX292" s="266"/>
      <c r="AY292" s="266"/>
      <c r="AZ292" s="266"/>
    </row>
    <row r="293">
      <c r="A293" s="168"/>
      <c r="B293" s="126" t="s">
        <v>340</v>
      </c>
      <c r="C293" s="168"/>
      <c r="D293" s="209"/>
      <c r="E293" s="209"/>
      <c r="F293" s="209"/>
      <c r="G293" s="209"/>
      <c r="H293" s="209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  <c r="AC293" s="266"/>
      <c r="AD293" s="266"/>
      <c r="AE293" s="266"/>
      <c r="AF293" s="266"/>
      <c r="AG293" s="266"/>
      <c r="AH293" s="266"/>
      <c r="AI293" s="266"/>
      <c r="AJ293" s="266"/>
      <c r="AK293" s="266"/>
      <c r="AL293" s="266"/>
      <c r="AM293" s="266"/>
      <c r="AN293" s="266"/>
      <c r="AO293" s="266"/>
      <c r="AP293" s="266"/>
      <c r="AQ293" s="266"/>
      <c r="AR293" s="266"/>
      <c r="AS293" s="266"/>
      <c r="AT293" s="266"/>
      <c r="AU293" s="266"/>
      <c r="AV293" s="266"/>
      <c r="AW293" s="266"/>
      <c r="AX293" s="266"/>
      <c r="AY293" s="266"/>
      <c r="AZ293" s="266"/>
    </row>
    <row r="294">
      <c r="A294" s="168"/>
      <c r="B294" s="168"/>
      <c r="C294" s="168"/>
      <c r="D294" s="85" t="s">
        <v>285</v>
      </c>
      <c r="E294" s="201">
        <v>46143.0</v>
      </c>
      <c r="F294" s="201">
        <v>46508.0</v>
      </c>
      <c r="G294" s="201">
        <v>46874.0</v>
      </c>
      <c r="H294" s="201">
        <v>47239.0</v>
      </c>
      <c r="I294" s="201">
        <v>47604.0</v>
      </c>
      <c r="J294" s="201">
        <v>47969.0</v>
      </c>
      <c r="K294" s="201">
        <v>48335.0</v>
      </c>
      <c r="L294" s="201">
        <v>48700.0</v>
      </c>
      <c r="M294" s="201">
        <v>49065.0</v>
      </c>
      <c r="N294" s="201">
        <v>49430.0</v>
      </c>
      <c r="O294" s="201">
        <v>49796.0</v>
      </c>
      <c r="P294" s="201">
        <v>50161.0</v>
      </c>
      <c r="Q294" s="201">
        <v>50526.0</v>
      </c>
      <c r="R294" s="201">
        <v>50891.0</v>
      </c>
      <c r="S294" s="201">
        <v>51257.0</v>
      </c>
      <c r="T294" s="201">
        <v>51622.0</v>
      </c>
      <c r="U294" s="201">
        <v>51987.0</v>
      </c>
      <c r="V294" s="201">
        <v>52352.0</v>
      </c>
      <c r="W294" s="201">
        <v>52718.0</v>
      </c>
      <c r="X294" s="201">
        <v>53083.0</v>
      </c>
      <c r="Y294" s="201">
        <v>53448.0</v>
      </c>
      <c r="Z294" s="201">
        <v>53813.0</v>
      </c>
      <c r="AA294" s="201">
        <v>54179.0</v>
      </c>
      <c r="AB294" s="201">
        <v>54544.0</v>
      </c>
      <c r="AC294" s="201">
        <v>54909.0</v>
      </c>
      <c r="AD294" s="201">
        <v>55274.0</v>
      </c>
      <c r="AE294" s="201">
        <v>55640.0</v>
      </c>
      <c r="AF294" s="201">
        <v>56005.0</v>
      </c>
      <c r="AG294" s="201">
        <v>56370.0</v>
      </c>
      <c r="AH294" s="201">
        <v>56735.0</v>
      </c>
      <c r="AI294" s="201">
        <v>57101.0</v>
      </c>
      <c r="AJ294" s="201">
        <v>57466.0</v>
      </c>
      <c r="AK294" s="201">
        <v>57831.0</v>
      </c>
      <c r="AL294" s="201">
        <v>58196.0</v>
      </c>
      <c r="AM294" s="193">
        <v>58562.0</v>
      </c>
      <c r="AN294" s="193">
        <v>58927.0</v>
      </c>
      <c r="AO294" s="193">
        <v>59292.0</v>
      </c>
      <c r="AP294" s="193">
        <v>59657.0</v>
      </c>
      <c r="AQ294" s="193">
        <v>60023.0</v>
      </c>
      <c r="AR294" s="193">
        <v>60388.0</v>
      </c>
      <c r="AS294" s="193">
        <v>60753.0</v>
      </c>
      <c r="AT294" s="193">
        <v>61118.0</v>
      </c>
      <c r="AU294" s="193">
        <v>61484.0</v>
      </c>
      <c r="AV294" s="193">
        <v>61849.0</v>
      </c>
      <c r="AW294" s="193">
        <v>62214.0</v>
      </c>
      <c r="AX294" s="193">
        <v>62579.0</v>
      </c>
      <c r="AY294" s="193">
        <v>62945.0</v>
      </c>
      <c r="AZ294" s="193">
        <v>63310.0</v>
      </c>
    </row>
    <row r="295">
      <c r="A295" s="168"/>
      <c r="B295" s="242" t="s">
        <v>400</v>
      </c>
      <c r="C295" s="168"/>
      <c r="D295" s="236">
        <v>0.0</v>
      </c>
      <c r="E295" s="203">
        <f t="shared" ref="E295:AZ295" si="44">if(RIGHT(E$259,4)&lt;=RIGHT($C$255,4),D295+E291,0)</f>
        <v>0</v>
      </c>
      <c r="F295" s="203">
        <f t="shared" si="44"/>
        <v>0</v>
      </c>
      <c r="G295" s="203">
        <f t="shared" si="44"/>
        <v>0</v>
      </c>
      <c r="H295" s="203">
        <f t="shared" si="44"/>
        <v>0</v>
      </c>
      <c r="I295" s="203">
        <f t="shared" si="44"/>
        <v>0</v>
      </c>
      <c r="J295" s="203">
        <f t="shared" si="44"/>
        <v>0</v>
      </c>
      <c r="K295" s="203">
        <f t="shared" si="44"/>
        <v>0</v>
      </c>
      <c r="L295" s="203">
        <f t="shared" si="44"/>
        <v>0</v>
      </c>
      <c r="M295" s="203">
        <f t="shared" si="44"/>
        <v>0</v>
      </c>
      <c r="N295" s="203">
        <f t="shared" si="44"/>
        <v>0</v>
      </c>
      <c r="O295" s="203">
        <f t="shared" si="44"/>
        <v>0</v>
      </c>
      <c r="P295" s="203">
        <f t="shared" si="44"/>
        <v>0</v>
      </c>
      <c r="Q295" s="203">
        <f t="shared" si="44"/>
        <v>0</v>
      </c>
      <c r="R295" s="203">
        <f t="shared" si="44"/>
        <v>0</v>
      </c>
      <c r="S295" s="203">
        <f t="shared" si="44"/>
        <v>0</v>
      </c>
      <c r="T295" s="203">
        <f t="shared" si="44"/>
        <v>0</v>
      </c>
      <c r="U295" s="203">
        <f t="shared" si="44"/>
        <v>0</v>
      </c>
      <c r="V295" s="203">
        <f t="shared" si="44"/>
        <v>0</v>
      </c>
      <c r="W295" s="203">
        <f t="shared" si="44"/>
        <v>0</v>
      </c>
      <c r="X295" s="203">
        <f t="shared" si="44"/>
        <v>0</v>
      </c>
      <c r="Y295" s="203">
        <f t="shared" si="44"/>
        <v>0</v>
      </c>
      <c r="Z295" s="203">
        <f t="shared" si="44"/>
        <v>0</v>
      </c>
      <c r="AA295" s="203">
        <f t="shared" si="44"/>
        <v>0</v>
      </c>
      <c r="AB295" s="203">
        <f t="shared" si="44"/>
        <v>0</v>
      </c>
      <c r="AC295" s="203">
        <f t="shared" si="44"/>
        <v>0</v>
      </c>
      <c r="AD295" s="203">
        <f t="shared" si="44"/>
        <v>0</v>
      </c>
      <c r="AE295" s="203">
        <f t="shared" si="44"/>
        <v>0</v>
      </c>
      <c r="AF295" s="203">
        <f t="shared" si="44"/>
        <v>0</v>
      </c>
      <c r="AG295" s="203">
        <f t="shared" si="44"/>
        <v>0</v>
      </c>
      <c r="AH295" s="203">
        <f t="shared" si="44"/>
        <v>0</v>
      </c>
      <c r="AI295" s="203">
        <f t="shared" si="44"/>
        <v>0</v>
      </c>
      <c r="AJ295" s="203">
        <f t="shared" si="44"/>
        <v>0</v>
      </c>
      <c r="AK295" s="203">
        <f t="shared" si="44"/>
        <v>0</v>
      </c>
      <c r="AL295" s="203">
        <f t="shared" si="44"/>
        <v>0</v>
      </c>
      <c r="AM295" s="203">
        <f t="shared" si="44"/>
        <v>0</v>
      </c>
      <c r="AN295" s="203">
        <f t="shared" si="44"/>
        <v>0</v>
      </c>
      <c r="AO295" s="203">
        <f t="shared" si="44"/>
        <v>0</v>
      </c>
      <c r="AP295" s="203">
        <f t="shared" si="44"/>
        <v>0</v>
      </c>
      <c r="AQ295" s="203">
        <f t="shared" si="44"/>
        <v>0</v>
      </c>
      <c r="AR295" s="203">
        <f t="shared" si="44"/>
        <v>0</v>
      </c>
      <c r="AS295" s="203">
        <f t="shared" si="44"/>
        <v>0</v>
      </c>
      <c r="AT295" s="203">
        <f t="shared" si="44"/>
        <v>0</v>
      </c>
      <c r="AU295" s="203">
        <f t="shared" si="44"/>
        <v>0</v>
      </c>
      <c r="AV295" s="203">
        <f t="shared" si="44"/>
        <v>0</v>
      </c>
      <c r="AW295" s="203">
        <f t="shared" si="44"/>
        <v>0</v>
      </c>
      <c r="AX295" s="203">
        <f t="shared" si="44"/>
        <v>0</v>
      </c>
      <c r="AY295" s="203">
        <f t="shared" si="44"/>
        <v>0</v>
      </c>
      <c r="AZ295" s="203">
        <f t="shared" si="44"/>
        <v>0</v>
      </c>
    </row>
    <row r="296">
      <c r="A296" s="168"/>
      <c r="B296" s="242" t="s">
        <v>401</v>
      </c>
      <c r="C296" s="168"/>
      <c r="D296" s="199">
        <f t="shared" ref="D296:AZ296" si="45">D295</f>
        <v>0</v>
      </c>
      <c r="E296" s="199">
        <f t="shared" si="45"/>
        <v>0</v>
      </c>
      <c r="F296" s="199">
        <f t="shared" si="45"/>
        <v>0</v>
      </c>
      <c r="G296" s="199">
        <f t="shared" si="45"/>
        <v>0</v>
      </c>
      <c r="H296" s="199">
        <f t="shared" si="45"/>
        <v>0</v>
      </c>
      <c r="I296" s="199">
        <f t="shared" si="45"/>
        <v>0</v>
      </c>
      <c r="J296" s="199">
        <f t="shared" si="45"/>
        <v>0</v>
      </c>
      <c r="K296" s="199">
        <f t="shared" si="45"/>
        <v>0</v>
      </c>
      <c r="L296" s="199">
        <f t="shared" si="45"/>
        <v>0</v>
      </c>
      <c r="M296" s="199">
        <f t="shared" si="45"/>
        <v>0</v>
      </c>
      <c r="N296" s="199">
        <f t="shared" si="45"/>
        <v>0</v>
      </c>
      <c r="O296" s="199">
        <f t="shared" si="45"/>
        <v>0</v>
      </c>
      <c r="P296" s="199">
        <f t="shared" si="45"/>
        <v>0</v>
      </c>
      <c r="Q296" s="199">
        <f t="shared" si="45"/>
        <v>0</v>
      </c>
      <c r="R296" s="199">
        <f t="shared" si="45"/>
        <v>0</v>
      </c>
      <c r="S296" s="199">
        <f t="shared" si="45"/>
        <v>0</v>
      </c>
      <c r="T296" s="199">
        <f t="shared" si="45"/>
        <v>0</v>
      </c>
      <c r="U296" s="199">
        <f t="shared" si="45"/>
        <v>0</v>
      </c>
      <c r="V296" s="199">
        <f t="shared" si="45"/>
        <v>0</v>
      </c>
      <c r="W296" s="199">
        <f t="shared" si="45"/>
        <v>0</v>
      </c>
      <c r="X296" s="199">
        <f t="shared" si="45"/>
        <v>0</v>
      </c>
      <c r="Y296" s="199">
        <f t="shared" si="45"/>
        <v>0</v>
      </c>
      <c r="Z296" s="199">
        <f t="shared" si="45"/>
        <v>0</v>
      </c>
      <c r="AA296" s="199">
        <f t="shared" si="45"/>
        <v>0</v>
      </c>
      <c r="AB296" s="199">
        <f t="shared" si="45"/>
        <v>0</v>
      </c>
      <c r="AC296" s="199">
        <f t="shared" si="45"/>
        <v>0</v>
      </c>
      <c r="AD296" s="199">
        <f t="shared" si="45"/>
        <v>0</v>
      </c>
      <c r="AE296" s="199">
        <f t="shared" si="45"/>
        <v>0</v>
      </c>
      <c r="AF296" s="199">
        <f t="shared" si="45"/>
        <v>0</v>
      </c>
      <c r="AG296" s="199">
        <f t="shared" si="45"/>
        <v>0</v>
      </c>
      <c r="AH296" s="199">
        <f t="shared" si="45"/>
        <v>0</v>
      </c>
      <c r="AI296" s="199">
        <f t="shared" si="45"/>
        <v>0</v>
      </c>
      <c r="AJ296" s="199">
        <f t="shared" si="45"/>
        <v>0</v>
      </c>
      <c r="AK296" s="199">
        <f t="shared" si="45"/>
        <v>0</v>
      </c>
      <c r="AL296" s="199">
        <f t="shared" si="45"/>
        <v>0</v>
      </c>
      <c r="AM296" s="199">
        <f t="shared" si="45"/>
        <v>0</v>
      </c>
      <c r="AN296" s="199">
        <f t="shared" si="45"/>
        <v>0</v>
      </c>
      <c r="AO296" s="199">
        <f t="shared" si="45"/>
        <v>0</v>
      </c>
      <c r="AP296" s="199">
        <f t="shared" si="45"/>
        <v>0</v>
      </c>
      <c r="AQ296" s="199">
        <f t="shared" si="45"/>
        <v>0</v>
      </c>
      <c r="AR296" s="199">
        <f t="shared" si="45"/>
        <v>0</v>
      </c>
      <c r="AS296" s="199">
        <f t="shared" si="45"/>
        <v>0</v>
      </c>
      <c r="AT296" s="199">
        <f t="shared" si="45"/>
        <v>0</v>
      </c>
      <c r="AU296" s="199">
        <f t="shared" si="45"/>
        <v>0</v>
      </c>
      <c r="AV296" s="199">
        <f t="shared" si="45"/>
        <v>0</v>
      </c>
      <c r="AW296" s="199">
        <f t="shared" si="45"/>
        <v>0</v>
      </c>
      <c r="AX296" s="199">
        <f t="shared" si="45"/>
        <v>0</v>
      </c>
      <c r="AY296" s="199">
        <f t="shared" si="45"/>
        <v>0</v>
      </c>
      <c r="AZ296" s="199">
        <f t="shared" si="45"/>
        <v>0</v>
      </c>
    </row>
    <row r="297">
      <c r="A297" s="168"/>
      <c r="B297" s="168"/>
      <c r="C297" s="168"/>
      <c r="D297" s="209"/>
      <c r="E297" s="209"/>
      <c r="F297" s="209"/>
      <c r="G297" s="209"/>
      <c r="H297" s="209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  <c r="AC297" s="266"/>
      <c r="AD297" s="266"/>
      <c r="AE297" s="266"/>
      <c r="AF297" s="266"/>
      <c r="AG297" s="266"/>
      <c r="AH297" s="266"/>
      <c r="AI297" s="266"/>
      <c r="AJ297" s="266"/>
      <c r="AK297" s="266"/>
      <c r="AL297" s="266"/>
      <c r="AM297" s="266"/>
      <c r="AN297" s="266"/>
      <c r="AO297" s="266"/>
      <c r="AP297" s="266"/>
      <c r="AQ297" s="266"/>
      <c r="AR297" s="266"/>
      <c r="AS297" s="266"/>
      <c r="AT297" s="266"/>
      <c r="AU297" s="266"/>
      <c r="AV297" s="266"/>
      <c r="AW297" s="266"/>
      <c r="AX297" s="266"/>
      <c r="AY297" s="266"/>
      <c r="AZ297" s="266"/>
    </row>
    <row r="298">
      <c r="A298" s="168"/>
      <c r="B298" s="168"/>
      <c r="C298" s="168"/>
      <c r="D298" s="209"/>
      <c r="E298" s="209"/>
      <c r="F298" s="209"/>
      <c r="G298" s="209"/>
      <c r="H298" s="209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  <c r="AB298" s="266"/>
      <c r="AC298" s="266"/>
      <c r="AD298" s="266"/>
      <c r="AE298" s="266"/>
      <c r="AF298" s="266"/>
      <c r="AG298" s="266"/>
      <c r="AH298" s="266"/>
      <c r="AI298" s="266"/>
      <c r="AJ298" s="266"/>
      <c r="AK298" s="266"/>
      <c r="AL298" s="266"/>
      <c r="AM298" s="266"/>
      <c r="AN298" s="266"/>
      <c r="AO298" s="266"/>
      <c r="AP298" s="266"/>
      <c r="AQ298" s="266"/>
      <c r="AR298" s="266"/>
      <c r="AS298" s="266"/>
      <c r="AT298" s="266"/>
      <c r="AU298" s="266"/>
      <c r="AV298" s="266"/>
      <c r="AW298" s="266"/>
      <c r="AX298" s="266"/>
      <c r="AY298" s="266"/>
      <c r="AZ298" s="266"/>
    </row>
    <row r="299">
      <c r="A299" s="168"/>
      <c r="B299" s="139" t="s">
        <v>309</v>
      </c>
      <c r="C299" s="168"/>
      <c r="D299" s="209"/>
      <c r="E299" s="209"/>
      <c r="F299" s="209"/>
      <c r="G299" s="209"/>
      <c r="H299" s="209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  <c r="AC299" s="266"/>
      <c r="AD299" s="266"/>
      <c r="AE299" s="266"/>
      <c r="AF299" s="266"/>
      <c r="AG299" s="266"/>
      <c r="AH299" s="266"/>
      <c r="AI299" s="266"/>
      <c r="AJ299" s="266"/>
      <c r="AK299" s="266"/>
      <c r="AL299" s="266"/>
      <c r="AM299" s="266"/>
      <c r="AN299" s="266"/>
      <c r="AO299" s="266"/>
      <c r="AP299" s="266"/>
      <c r="AQ299" s="266"/>
      <c r="AR299" s="266"/>
      <c r="AS299" s="266"/>
      <c r="AT299" s="266"/>
      <c r="AU299" s="266"/>
      <c r="AV299" s="266"/>
      <c r="AW299" s="266"/>
      <c r="AX299" s="266"/>
      <c r="AY299" s="266"/>
      <c r="AZ299" s="266"/>
    </row>
    <row r="300">
      <c r="A300" s="168"/>
      <c r="B300" s="168"/>
      <c r="C300" s="168"/>
      <c r="D300" s="267" t="s">
        <v>344</v>
      </c>
      <c r="E300" s="21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  <c r="AB300" s="168"/>
      <c r="AC300" s="168"/>
      <c r="AD300" s="168"/>
      <c r="AE300" s="168"/>
      <c r="AF300" s="168"/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168"/>
      <c r="AT300" s="168"/>
      <c r="AU300" s="168"/>
      <c r="AV300" s="168"/>
      <c r="AW300" s="168"/>
      <c r="AX300" s="168"/>
      <c r="AY300" s="168"/>
      <c r="AZ300" s="168"/>
    </row>
    <row r="301">
      <c r="A301" s="168"/>
      <c r="B301" s="168"/>
      <c r="C301" s="212"/>
      <c r="D301" s="268" t="s">
        <v>345</v>
      </c>
      <c r="E301" s="269" t="s">
        <v>251</v>
      </c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  <c r="AB301" s="168"/>
      <c r="AC301" s="168"/>
      <c r="AD301" s="168"/>
      <c r="AE301" s="168"/>
      <c r="AF301" s="168"/>
      <c r="AG301" s="168"/>
      <c r="AH301" s="168"/>
      <c r="AI301" s="168"/>
      <c r="AJ301" s="168"/>
      <c r="AK301" s="168"/>
      <c r="AL301" s="168"/>
      <c r="AM301" s="168"/>
      <c r="AN301" s="168"/>
      <c r="AO301" s="168"/>
      <c r="AP301" s="168"/>
      <c r="AQ301" s="168"/>
      <c r="AR301" s="168"/>
      <c r="AS301" s="168"/>
      <c r="AT301" s="168"/>
      <c r="AU301" s="168"/>
      <c r="AV301" s="168"/>
      <c r="AW301" s="168"/>
      <c r="AX301" s="168"/>
      <c r="AY301" s="168"/>
      <c r="AZ301" s="168"/>
    </row>
    <row r="302">
      <c r="A302" s="168"/>
      <c r="B302" s="175" t="str">
        <f>"1 year ("&amp;(Year(today())+1)&amp;")"</f>
        <v>1 year (2026)</v>
      </c>
      <c r="C302" s="215"/>
      <c r="D302" s="219">
        <f>E291</f>
        <v>0</v>
      </c>
      <c r="E302" s="217" t="str">
        <f t="shared" ref="E302:E305" si="46">D302/$H65</f>
        <v>#DIV/0!</v>
      </c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  <c r="AB302" s="168"/>
      <c r="AC302" s="168"/>
      <c r="AD302" s="168"/>
      <c r="AE302" s="168"/>
      <c r="AF302" s="168"/>
      <c r="AG302" s="168"/>
      <c r="AH302" s="168"/>
      <c r="AI302" s="168"/>
      <c r="AJ302" s="168"/>
      <c r="AK302" s="168"/>
      <c r="AL302" s="168"/>
      <c r="AM302" s="168"/>
      <c r="AN302" s="168"/>
      <c r="AO302" s="168"/>
      <c r="AP302" s="168"/>
      <c r="AQ302" s="168"/>
      <c r="AR302" s="168"/>
      <c r="AS302" s="168"/>
      <c r="AT302" s="168"/>
      <c r="AU302" s="168"/>
      <c r="AV302" s="168"/>
      <c r="AW302" s="168"/>
      <c r="AX302" s="168"/>
      <c r="AY302" s="168"/>
      <c r="AZ302" s="168"/>
    </row>
    <row r="303">
      <c r="A303" s="168"/>
      <c r="B303" s="175" t="str">
        <f>"5 years ("&amp;(Year(today())+5)&amp;")"</f>
        <v>5 years (2030)</v>
      </c>
      <c r="C303" s="218"/>
      <c r="D303" s="219">
        <f>I291</f>
        <v>0</v>
      </c>
      <c r="E303" s="217" t="str">
        <f t="shared" si="46"/>
        <v>#DIV/0!</v>
      </c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  <c r="AB303" s="168"/>
      <c r="AC303" s="168"/>
      <c r="AD303" s="168"/>
      <c r="AE303" s="168"/>
      <c r="AF303" s="168"/>
      <c r="AG303" s="168"/>
      <c r="AH303" s="168"/>
      <c r="AI303" s="168"/>
      <c r="AJ303" s="168"/>
      <c r="AK303" s="168"/>
      <c r="AL303" s="168"/>
      <c r="AM303" s="168"/>
      <c r="AN303" s="168"/>
      <c r="AO303" s="168"/>
      <c r="AP303" s="168"/>
      <c r="AQ303" s="168"/>
      <c r="AR303" s="168"/>
      <c r="AS303" s="168"/>
      <c r="AT303" s="168"/>
      <c r="AU303" s="168"/>
      <c r="AV303" s="168"/>
      <c r="AW303" s="168"/>
      <c r="AX303" s="168"/>
      <c r="AY303" s="168"/>
      <c r="AZ303" s="168"/>
    </row>
    <row r="304">
      <c r="A304" s="168"/>
      <c r="B304" s="175" t="str">
        <f>"10 years ("&amp;(Year(today())+10)&amp;")"</f>
        <v>10 years (2035)</v>
      </c>
      <c r="C304" s="218"/>
      <c r="D304" s="219">
        <f>N291</f>
        <v>0</v>
      </c>
      <c r="E304" s="217" t="str">
        <f t="shared" si="46"/>
        <v>#DIV/0!</v>
      </c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  <c r="AB304" s="168"/>
      <c r="AC304" s="168"/>
      <c r="AD304" s="168"/>
      <c r="AE304" s="168"/>
      <c r="AF304" s="168"/>
      <c r="AG304" s="168"/>
      <c r="AH304" s="168"/>
      <c r="AI304" s="168"/>
      <c r="AJ304" s="168"/>
      <c r="AK304" s="168"/>
      <c r="AL304" s="168"/>
      <c r="AM304" s="168"/>
      <c r="AN304" s="168"/>
      <c r="AO304" s="168"/>
      <c r="AP304" s="168"/>
      <c r="AQ304" s="168"/>
      <c r="AR304" s="168"/>
      <c r="AS304" s="168"/>
      <c r="AT304" s="168"/>
      <c r="AU304" s="168"/>
      <c r="AV304" s="168"/>
      <c r="AW304" s="168"/>
      <c r="AX304" s="168"/>
      <c r="AY304" s="168"/>
      <c r="AZ304" s="168"/>
    </row>
    <row r="305">
      <c r="A305" s="168"/>
      <c r="B305" s="175" t="str">
        <f>"20 years ("&amp;(Year(today())+20)&amp;")"</f>
        <v>20 years (2045)</v>
      </c>
      <c r="C305" s="222"/>
      <c r="D305" s="219">
        <f>X291</f>
        <v>0</v>
      </c>
      <c r="E305" s="217" t="str">
        <f t="shared" si="46"/>
        <v>#DIV/0!</v>
      </c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  <c r="AB305" s="168"/>
      <c r="AC305" s="168"/>
      <c r="AD305" s="168"/>
      <c r="AE305" s="168"/>
      <c r="AF305" s="168"/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168"/>
      <c r="AT305" s="168"/>
      <c r="AU305" s="168"/>
      <c r="AV305" s="168"/>
      <c r="AW305" s="168"/>
      <c r="AX305" s="168"/>
      <c r="AY305" s="168"/>
      <c r="AZ305" s="168"/>
    </row>
    <row r="306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  <c r="AB306" s="168"/>
      <c r="AC306" s="168"/>
      <c r="AD306" s="168"/>
      <c r="AE306" s="168"/>
      <c r="AF306" s="168"/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168"/>
      <c r="AT306" s="168"/>
      <c r="AU306" s="168"/>
      <c r="AV306" s="168"/>
      <c r="AW306" s="168"/>
      <c r="AX306" s="168"/>
      <c r="AY306" s="168"/>
      <c r="AZ306" s="168"/>
    </row>
    <row r="307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  <c r="AB307" s="168"/>
      <c r="AC307" s="168"/>
      <c r="AD307" s="168"/>
      <c r="AE307" s="168"/>
      <c r="AF307" s="168"/>
      <c r="AG307" s="168"/>
      <c r="AH307" s="168"/>
      <c r="AI307" s="168"/>
      <c r="AJ307" s="168"/>
      <c r="AK307" s="168"/>
      <c r="AL307" s="168"/>
      <c r="AM307" s="168"/>
      <c r="AN307" s="168"/>
      <c r="AO307" s="168"/>
      <c r="AP307" s="168"/>
      <c r="AQ307" s="168"/>
      <c r="AR307" s="168"/>
      <c r="AS307" s="168"/>
      <c r="AT307" s="168"/>
      <c r="AU307" s="168"/>
      <c r="AV307" s="168"/>
      <c r="AW307" s="168"/>
      <c r="AX307" s="168"/>
      <c r="AY307" s="168"/>
      <c r="AZ307" s="168"/>
    </row>
    <row r="308">
      <c r="A308" s="252" t="s">
        <v>408</v>
      </c>
      <c r="B308" s="252" t="s">
        <v>409</v>
      </c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  <c r="AB308" s="168"/>
      <c r="AC308" s="168"/>
      <c r="AD308" s="168"/>
      <c r="AE308" s="168"/>
      <c r="AF308" s="168"/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168"/>
      <c r="AT308" s="168"/>
      <c r="AU308" s="168"/>
      <c r="AV308" s="168"/>
      <c r="AW308" s="168"/>
      <c r="AX308" s="168"/>
      <c r="AY308" s="168"/>
      <c r="AZ308" s="168"/>
    </row>
    <row r="309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  <c r="AB309" s="168"/>
      <c r="AC309" s="168"/>
      <c r="AD309" s="168"/>
      <c r="AE309" s="168"/>
      <c r="AF309" s="168"/>
      <c r="AG309" s="168"/>
      <c r="AH309" s="168"/>
      <c r="AI309" s="168"/>
      <c r="AJ309" s="168"/>
      <c r="AK309" s="168"/>
      <c r="AL309" s="168"/>
      <c r="AM309" s="168"/>
      <c r="AN309" s="168"/>
      <c r="AO309" s="168"/>
      <c r="AP309" s="168"/>
      <c r="AQ309" s="168"/>
      <c r="AR309" s="168"/>
      <c r="AS309" s="168"/>
      <c r="AT309" s="168"/>
      <c r="AU309" s="168"/>
      <c r="AV309" s="168"/>
      <c r="AW309" s="168"/>
      <c r="AX309" s="168"/>
      <c r="AY309" s="168"/>
      <c r="AZ309" s="168"/>
    </row>
    <row r="310">
      <c r="A310" s="168"/>
      <c r="B310" s="139" t="s">
        <v>280</v>
      </c>
      <c r="C310" s="170" t="str">
        <f>100*C319&amp;"% reduction in general expenses (realistically these could increase with home ownership)"</f>
        <v>10% reduction in general expenses (realistically these could increase with home ownership)</v>
      </c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  <c r="AB310" s="168"/>
      <c r="AC310" s="168"/>
      <c r="AD310" s="168"/>
      <c r="AE310" s="168"/>
      <c r="AF310" s="168"/>
      <c r="AG310" s="168"/>
      <c r="AH310" s="168"/>
      <c r="AI310" s="168"/>
      <c r="AJ310" s="168"/>
      <c r="AK310" s="168"/>
      <c r="AL310" s="168"/>
      <c r="AM310" s="168"/>
      <c r="AN310" s="168"/>
      <c r="AO310" s="168"/>
      <c r="AP310" s="168"/>
      <c r="AQ310" s="168"/>
      <c r="AR310" s="168"/>
      <c r="AS310" s="168"/>
      <c r="AT310" s="168"/>
      <c r="AU310" s="168"/>
      <c r="AV310" s="168"/>
      <c r="AW310" s="168"/>
      <c r="AX310" s="168"/>
      <c r="AY310" s="168"/>
      <c r="AZ310" s="168"/>
    </row>
    <row r="311">
      <c r="A311" s="168"/>
      <c r="B311" s="168"/>
      <c r="C311" s="170" t="s">
        <v>410</v>
      </c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  <c r="AB311" s="168"/>
      <c r="AC311" s="168"/>
      <c r="AD311" s="168"/>
      <c r="AE311" s="168"/>
      <c r="AF311" s="168"/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168"/>
      <c r="AT311" s="168"/>
      <c r="AU311" s="168"/>
      <c r="AV311" s="168"/>
      <c r="AW311" s="168"/>
      <c r="AX311" s="168"/>
      <c r="AY311" s="168"/>
      <c r="AZ311" s="168"/>
    </row>
    <row r="312">
      <c r="A312" s="168"/>
      <c r="B312" s="168"/>
      <c r="C312" s="174" t="s">
        <v>411</v>
      </c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  <c r="AB312" s="168"/>
      <c r="AC312" s="168"/>
      <c r="AD312" s="168"/>
      <c r="AE312" s="168"/>
      <c r="AF312" s="168"/>
      <c r="AG312" s="168"/>
      <c r="AH312" s="168"/>
      <c r="AI312" s="168"/>
      <c r="AJ312" s="168"/>
      <c r="AK312" s="168"/>
      <c r="AL312" s="168"/>
      <c r="AM312" s="168"/>
      <c r="AN312" s="168"/>
      <c r="AO312" s="168"/>
      <c r="AP312" s="168"/>
      <c r="AQ312" s="168"/>
      <c r="AR312" s="168"/>
      <c r="AS312" s="168"/>
      <c r="AT312" s="168"/>
      <c r="AU312" s="168"/>
      <c r="AV312" s="168"/>
      <c r="AW312" s="168"/>
      <c r="AX312" s="168"/>
      <c r="AY312" s="168"/>
      <c r="AZ312" s="168"/>
    </row>
    <row r="313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  <c r="AB313" s="168"/>
      <c r="AC313" s="168"/>
      <c r="AD313" s="168"/>
      <c r="AE313" s="168"/>
      <c r="AF313" s="168"/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168"/>
      <c r="AT313" s="168"/>
      <c r="AU313" s="168"/>
      <c r="AV313" s="168"/>
      <c r="AW313" s="168"/>
      <c r="AX313" s="168"/>
      <c r="AY313" s="168"/>
      <c r="AZ313" s="168"/>
    </row>
    <row r="314">
      <c r="A314" s="168"/>
      <c r="B314" s="270" t="s">
        <v>314</v>
      </c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  <c r="AB314" s="168"/>
      <c r="AC314" s="168"/>
      <c r="AD314" s="168"/>
      <c r="AE314" s="168"/>
      <c r="AF314" s="168"/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168"/>
      <c r="AT314" s="168"/>
      <c r="AU314" s="168"/>
      <c r="AV314" s="168"/>
      <c r="AW314" s="168"/>
      <c r="AX314" s="168"/>
      <c r="AY314" s="168"/>
      <c r="AZ314" s="168"/>
    </row>
    <row r="315">
      <c r="A315" s="168"/>
      <c r="B315" s="270" t="s">
        <v>316</v>
      </c>
      <c r="C315" s="170" t="s">
        <v>319</v>
      </c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  <c r="AB315" s="168"/>
      <c r="AC315" s="168"/>
      <c r="AD315" s="168"/>
      <c r="AE315" s="168"/>
      <c r="AF315" s="168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168"/>
      <c r="AT315" s="168"/>
      <c r="AU315" s="168"/>
      <c r="AV315" s="168"/>
      <c r="AW315" s="168"/>
      <c r="AX315" s="168"/>
      <c r="AY315" s="168"/>
      <c r="AZ315" s="168"/>
    </row>
    <row r="316">
      <c r="A316" s="168"/>
      <c r="B316" s="270" t="s">
        <v>318</v>
      </c>
      <c r="C316" s="170" t="s">
        <v>317</v>
      </c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  <c r="AB316" s="168"/>
      <c r="AC316" s="168"/>
      <c r="AD316" s="168"/>
      <c r="AE316" s="168"/>
      <c r="AF316" s="168"/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168"/>
      <c r="AT316" s="168"/>
      <c r="AU316" s="168"/>
      <c r="AV316" s="168"/>
      <c r="AW316" s="168"/>
      <c r="AX316" s="168"/>
      <c r="AY316" s="168"/>
      <c r="AZ316" s="168"/>
    </row>
    <row r="317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  <c r="AB317" s="168"/>
      <c r="AC317" s="168"/>
      <c r="AD317" s="168"/>
      <c r="AE317" s="168"/>
      <c r="AF317" s="168"/>
      <c r="AG317" s="168"/>
      <c r="AH317" s="168"/>
      <c r="AI317" s="168"/>
      <c r="AJ317" s="168"/>
      <c r="AK317" s="168"/>
      <c r="AL317" s="168"/>
      <c r="AM317" s="168"/>
      <c r="AN317" s="168"/>
      <c r="AO317" s="168"/>
      <c r="AP317" s="168"/>
      <c r="AQ317" s="168"/>
      <c r="AR317" s="168"/>
      <c r="AS317" s="168"/>
      <c r="AT317" s="168"/>
      <c r="AU317" s="168"/>
      <c r="AV317" s="168"/>
      <c r="AW317" s="168"/>
      <c r="AX317" s="168"/>
      <c r="AY317" s="168"/>
      <c r="AZ317" s="168"/>
    </row>
    <row r="318">
      <c r="A318" s="168"/>
      <c r="B318" s="260" t="s">
        <v>412</v>
      </c>
      <c r="C318" s="260" t="s">
        <v>413</v>
      </c>
      <c r="D318" s="260" t="s">
        <v>414</v>
      </c>
      <c r="E318" s="271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  <c r="AB318" s="168"/>
      <c r="AC318" s="168"/>
      <c r="AD318" s="168"/>
      <c r="AE318" s="168"/>
      <c r="AF318" s="168"/>
      <c r="AG318" s="168"/>
      <c r="AH318" s="168"/>
      <c r="AI318" s="168"/>
      <c r="AJ318" s="168"/>
      <c r="AK318" s="168"/>
      <c r="AL318" s="168"/>
      <c r="AM318" s="168"/>
      <c r="AN318" s="168"/>
      <c r="AO318" s="168"/>
      <c r="AP318" s="168"/>
      <c r="AQ318" s="168"/>
      <c r="AR318" s="168"/>
      <c r="AS318" s="168"/>
      <c r="AT318" s="168"/>
      <c r="AU318" s="168"/>
      <c r="AV318" s="168"/>
      <c r="AW318" s="168"/>
      <c r="AX318" s="168"/>
      <c r="AY318" s="168"/>
      <c r="AZ318" s="168"/>
    </row>
    <row r="319">
      <c r="A319" s="168"/>
      <c r="B319" s="187" t="s">
        <v>415</v>
      </c>
      <c r="C319" s="272">
        <v>0.1</v>
      </c>
      <c r="D319" s="273" t="s">
        <v>416</v>
      </c>
      <c r="E319" s="202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  <c r="AB319" s="168"/>
      <c r="AC319" s="168"/>
      <c r="AD319" s="168"/>
      <c r="AE319" s="168"/>
      <c r="AF319" s="168"/>
      <c r="AG319" s="168"/>
      <c r="AH319" s="168"/>
      <c r="AI319" s="168"/>
      <c r="AJ319" s="168"/>
      <c r="AK319" s="168"/>
      <c r="AL319" s="168"/>
      <c r="AM319" s="168"/>
      <c r="AN319" s="168"/>
      <c r="AO319" s="168"/>
      <c r="AP319" s="168"/>
      <c r="AQ319" s="168"/>
      <c r="AR319" s="168"/>
      <c r="AS319" s="168"/>
      <c r="AT319" s="168"/>
      <c r="AU319" s="168"/>
      <c r="AV319" s="168"/>
      <c r="AW319" s="168"/>
      <c r="AX319" s="168"/>
      <c r="AY319" s="168"/>
      <c r="AZ319" s="168"/>
    </row>
    <row r="320">
      <c r="A320" s="168"/>
      <c r="B320" s="168"/>
      <c r="C320" s="192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  <c r="AB320" s="168"/>
      <c r="AC320" s="168"/>
      <c r="AD320" s="168"/>
      <c r="AE320" s="168"/>
      <c r="AF320" s="168"/>
      <c r="AG320" s="168"/>
      <c r="AH320" s="168"/>
      <c r="AI320" s="168"/>
      <c r="AJ320" s="168"/>
      <c r="AK320" s="168"/>
      <c r="AL320" s="168"/>
      <c r="AM320" s="168"/>
      <c r="AN320" s="168"/>
      <c r="AO320" s="168"/>
      <c r="AP320" s="168"/>
      <c r="AQ320" s="168"/>
      <c r="AR320" s="168"/>
      <c r="AS320" s="168"/>
      <c r="AT320" s="168"/>
      <c r="AU320" s="168"/>
      <c r="AV320" s="168"/>
      <c r="AW320" s="168"/>
      <c r="AX320" s="168"/>
      <c r="AY320" s="168"/>
      <c r="AZ320" s="168"/>
    </row>
    <row r="321">
      <c r="A321" s="168"/>
      <c r="B321" s="139" t="s">
        <v>336</v>
      </c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  <c r="AB321" s="168"/>
      <c r="AC321" s="168"/>
      <c r="AD321" s="168"/>
      <c r="AE321" s="168"/>
      <c r="AF321" s="168"/>
      <c r="AG321" s="168"/>
      <c r="AH321" s="168"/>
      <c r="AI321" s="168"/>
      <c r="AJ321" s="168"/>
      <c r="AK321" s="168"/>
      <c r="AL321" s="168"/>
      <c r="AM321" s="168"/>
      <c r="AN321" s="168"/>
      <c r="AO321" s="168"/>
      <c r="AP321" s="168"/>
      <c r="AQ321" s="168"/>
      <c r="AR321" s="168"/>
      <c r="AS321" s="168"/>
      <c r="AT321" s="168"/>
      <c r="AU321" s="168"/>
      <c r="AV321" s="168"/>
      <c r="AW321" s="168"/>
      <c r="AX321" s="168"/>
      <c r="AY321" s="168"/>
      <c r="AZ321" s="168"/>
    </row>
    <row r="322">
      <c r="A322" s="168"/>
      <c r="B322" s="168"/>
      <c r="C322" s="168"/>
      <c r="D322" s="85" t="s">
        <v>285</v>
      </c>
      <c r="E322" s="193">
        <v>46143.0</v>
      </c>
      <c r="F322" s="193">
        <v>46508.0</v>
      </c>
      <c r="G322" s="193">
        <v>46874.0</v>
      </c>
      <c r="H322" s="193">
        <v>47239.0</v>
      </c>
      <c r="I322" s="193">
        <v>47604.0</v>
      </c>
      <c r="J322" s="193">
        <v>47969.0</v>
      </c>
      <c r="K322" s="193">
        <v>48335.0</v>
      </c>
      <c r="L322" s="193">
        <v>48700.0</v>
      </c>
      <c r="M322" s="193">
        <v>49065.0</v>
      </c>
      <c r="N322" s="193">
        <v>49430.0</v>
      </c>
      <c r="O322" s="193">
        <v>49796.0</v>
      </c>
      <c r="P322" s="193">
        <v>50161.0</v>
      </c>
      <c r="Q322" s="193">
        <v>50526.0</v>
      </c>
      <c r="R322" s="193">
        <v>50891.0</v>
      </c>
      <c r="S322" s="193">
        <v>51257.0</v>
      </c>
      <c r="T322" s="193">
        <v>51622.0</v>
      </c>
      <c r="U322" s="193">
        <v>51987.0</v>
      </c>
      <c r="V322" s="193">
        <v>52352.0</v>
      </c>
      <c r="W322" s="193">
        <v>52718.0</v>
      </c>
      <c r="X322" s="193">
        <v>53083.0</v>
      </c>
      <c r="Y322" s="193">
        <v>53448.0</v>
      </c>
      <c r="Z322" s="193">
        <v>53813.0</v>
      </c>
      <c r="AA322" s="193">
        <v>54179.0</v>
      </c>
      <c r="AB322" s="193">
        <v>54544.0</v>
      </c>
      <c r="AC322" s="193">
        <v>54909.0</v>
      </c>
      <c r="AD322" s="193">
        <v>55274.0</v>
      </c>
      <c r="AE322" s="193">
        <v>55640.0</v>
      </c>
      <c r="AF322" s="193">
        <v>56005.0</v>
      </c>
      <c r="AG322" s="193">
        <v>56370.0</v>
      </c>
      <c r="AH322" s="193">
        <v>56735.0</v>
      </c>
      <c r="AI322" s="193">
        <v>57101.0</v>
      </c>
      <c r="AJ322" s="193">
        <v>57466.0</v>
      </c>
      <c r="AK322" s="193">
        <v>57831.0</v>
      </c>
      <c r="AL322" s="193">
        <v>58196.0</v>
      </c>
      <c r="AM322" s="193">
        <v>58562.0</v>
      </c>
      <c r="AN322" s="193">
        <v>58927.0</v>
      </c>
      <c r="AO322" s="193">
        <v>59292.0</v>
      </c>
      <c r="AP322" s="193">
        <v>59657.0</v>
      </c>
      <c r="AQ322" s="193">
        <v>60023.0</v>
      </c>
      <c r="AR322" s="193">
        <v>60388.0</v>
      </c>
      <c r="AS322" s="193">
        <v>60753.0</v>
      </c>
      <c r="AT322" s="193">
        <v>61118.0</v>
      </c>
      <c r="AU322" s="193">
        <v>61484.0</v>
      </c>
      <c r="AV322" s="193">
        <v>61849.0</v>
      </c>
      <c r="AW322" s="193">
        <v>62214.0</v>
      </c>
      <c r="AX322" s="193">
        <v>62579.0</v>
      </c>
      <c r="AY322" s="193">
        <v>62945.0</v>
      </c>
      <c r="AZ322" s="193">
        <v>63310.0</v>
      </c>
    </row>
    <row r="323">
      <c r="A323" s="168"/>
      <c r="B323" s="126" t="str">
        <f t="array" ref="B323">"Baseline "&amp;index('Input Data'!A30,0)&amp;" expense"</f>
        <v>Baseline Mortgage expense</v>
      </c>
      <c r="C323" s="168"/>
      <c r="D323" s="196">
        <f>if(D144&lt;0,if(COLUMN(D142)-COLUMN($D142)&lt;=$C$132-1,ann_payment,0),0)</f>
        <v>25976.55963</v>
      </c>
      <c r="E323" s="195">
        <f t="shared" ref="E323:AZ323" si="47">D323</f>
        <v>25976.55963</v>
      </c>
      <c r="F323" s="195">
        <f t="shared" si="47"/>
        <v>25976.55963</v>
      </c>
      <c r="G323" s="195">
        <f t="shared" si="47"/>
        <v>25976.55963</v>
      </c>
      <c r="H323" s="195">
        <f t="shared" si="47"/>
        <v>25976.55963</v>
      </c>
      <c r="I323" s="195">
        <f t="shared" si="47"/>
        <v>25976.55963</v>
      </c>
      <c r="J323" s="195">
        <f t="shared" si="47"/>
        <v>25976.55963</v>
      </c>
      <c r="K323" s="195">
        <f t="shared" si="47"/>
        <v>25976.55963</v>
      </c>
      <c r="L323" s="195">
        <f t="shared" si="47"/>
        <v>25976.55963</v>
      </c>
      <c r="M323" s="195">
        <f t="shared" si="47"/>
        <v>25976.55963</v>
      </c>
      <c r="N323" s="195">
        <f t="shared" si="47"/>
        <v>25976.55963</v>
      </c>
      <c r="O323" s="195">
        <f t="shared" si="47"/>
        <v>25976.55963</v>
      </c>
      <c r="P323" s="195">
        <f t="shared" si="47"/>
        <v>25976.55963</v>
      </c>
      <c r="Q323" s="195">
        <f t="shared" si="47"/>
        <v>25976.55963</v>
      </c>
      <c r="R323" s="195">
        <f t="shared" si="47"/>
        <v>25976.55963</v>
      </c>
      <c r="S323" s="195">
        <f t="shared" si="47"/>
        <v>25976.55963</v>
      </c>
      <c r="T323" s="195">
        <f t="shared" si="47"/>
        <v>25976.55963</v>
      </c>
      <c r="U323" s="195">
        <f t="shared" si="47"/>
        <v>25976.55963</v>
      </c>
      <c r="V323" s="195">
        <f t="shared" si="47"/>
        <v>25976.55963</v>
      </c>
      <c r="W323" s="195">
        <f t="shared" si="47"/>
        <v>25976.55963</v>
      </c>
      <c r="X323" s="195">
        <f t="shared" si="47"/>
        <v>25976.55963</v>
      </c>
      <c r="Y323" s="195">
        <f t="shared" si="47"/>
        <v>25976.55963</v>
      </c>
      <c r="Z323" s="195">
        <f t="shared" si="47"/>
        <v>25976.55963</v>
      </c>
      <c r="AA323" s="195">
        <f t="shared" si="47"/>
        <v>25976.55963</v>
      </c>
      <c r="AB323" s="195">
        <f t="shared" si="47"/>
        <v>25976.55963</v>
      </c>
      <c r="AC323" s="195">
        <f t="shared" si="47"/>
        <v>25976.55963</v>
      </c>
      <c r="AD323" s="195">
        <f t="shared" si="47"/>
        <v>25976.55963</v>
      </c>
      <c r="AE323" s="195">
        <f t="shared" si="47"/>
        <v>25976.55963</v>
      </c>
      <c r="AF323" s="195">
        <f t="shared" si="47"/>
        <v>25976.55963</v>
      </c>
      <c r="AG323" s="195">
        <f t="shared" si="47"/>
        <v>25976.55963</v>
      </c>
      <c r="AH323" s="195">
        <f t="shared" si="47"/>
        <v>25976.55963</v>
      </c>
      <c r="AI323" s="195">
        <f t="shared" si="47"/>
        <v>25976.55963</v>
      </c>
      <c r="AJ323" s="195">
        <f t="shared" si="47"/>
        <v>25976.55963</v>
      </c>
      <c r="AK323" s="195">
        <f t="shared" si="47"/>
        <v>25976.55963</v>
      </c>
      <c r="AL323" s="195">
        <f t="shared" si="47"/>
        <v>25976.55963</v>
      </c>
      <c r="AM323" s="195">
        <f t="shared" si="47"/>
        <v>25976.55963</v>
      </c>
      <c r="AN323" s="195">
        <f t="shared" si="47"/>
        <v>25976.55963</v>
      </c>
      <c r="AO323" s="195">
        <f t="shared" si="47"/>
        <v>25976.55963</v>
      </c>
      <c r="AP323" s="195">
        <f t="shared" si="47"/>
        <v>25976.55963</v>
      </c>
      <c r="AQ323" s="195">
        <f t="shared" si="47"/>
        <v>25976.55963</v>
      </c>
      <c r="AR323" s="195">
        <f t="shared" si="47"/>
        <v>25976.55963</v>
      </c>
      <c r="AS323" s="195">
        <f t="shared" si="47"/>
        <v>25976.55963</v>
      </c>
      <c r="AT323" s="195">
        <f t="shared" si="47"/>
        <v>25976.55963</v>
      </c>
      <c r="AU323" s="195">
        <f t="shared" si="47"/>
        <v>25976.55963</v>
      </c>
      <c r="AV323" s="195">
        <f t="shared" si="47"/>
        <v>25976.55963</v>
      </c>
      <c r="AW323" s="195">
        <f t="shared" si="47"/>
        <v>25976.55963</v>
      </c>
      <c r="AX323" s="195">
        <f t="shared" si="47"/>
        <v>25976.55963</v>
      </c>
      <c r="AY323" s="195">
        <f t="shared" si="47"/>
        <v>25976.55963</v>
      </c>
      <c r="AZ323" s="195">
        <f t="shared" si="47"/>
        <v>25976.55963</v>
      </c>
    </row>
    <row r="324">
      <c r="A324" s="168"/>
      <c r="B324" s="242" t="s">
        <v>417</v>
      </c>
      <c r="C324" s="274"/>
      <c r="D324" s="195">
        <f>'Input Data'!C37-'Input Data'!C30</f>
        <v>20700</v>
      </c>
      <c r="E324" s="196">
        <f t="shared" ref="E324:AZ324" si="48">(1-$C$319)*$D$324</f>
        <v>18630</v>
      </c>
      <c r="F324" s="196">
        <f t="shared" si="48"/>
        <v>18630</v>
      </c>
      <c r="G324" s="196">
        <f t="shared" si="48"/>
        <v>18630</v>
      </c>
      <c r="H324" s="196">
        <f t="shared" si="48"/>
        <v>18630</v>
      </c>
      <c r="I324" s="196">
        <f t="shared" si="48"/>
        <v>18630</v>
      </c>
      <c r="J324" s="196">
        <f t="shared" si="48"/>
        <v>18630</v>
      </c>
      <c r="K324" s="196">
        <f t="shared" si="48"/>
        <v>18630</v>
      </c>
      <c r="L324" s="196">
        <f t="shared" si="48"/>
        <v>18630</v>
      </c>
      <c r="M324" s="196">
        <f t="shared" si="48"/>
        <v>18630</v>
      </c>
      <c r="N324" s="196">
        <f t="shared" si="48"/>
        <v>18630</v>
      </c>
      <c r="O324" s="196">
        <f t="shared" si="48"/>
        <v>18630</v>
      </c>
      <c r="P324" s="196">
        <f t="shared" si="48"/>
        <v>18630</v>
      </c>
      <c r="Q324" s="196">
        <f t="shared" si="48"/>
        <v>18630</v>
      </c>
      <c r="R324" s="196">
        <f t="shared" si="48"/>
        <v>18630</v>
      </c>
      <c r="S324" s="196">
        <f t="shared" si="48"/>
        <v>18630</v>
      </c>
      <c r="T324" s="196">
        <f t="shared" si="48"/>
        <v>18630</v>
      </c>
      <c r="U324" s="196">
        <f t="shared" si="48"/>
        <v>18630</v>
      </c>
      <c r="V324" s="196">
        <f t="shared" si="48"/>
        <v>18630</v>
      </c>
      <c r="W324" s="196">
        <f t="shared" si="48"/>
        <v>18630</v>
      </c>
      <c r="X324" s="196">
        <f t="shared" si="48"/>
        <v>18630</v>
      </c>
      <c r="Y324" s="196">
        <f t="shared" si="48"/>
        <v>18630</v>
      </c>
      <c r="Z324" s="196">
        <f t="shared" si="48"/>
        <v>18630</v>
      </c>
      <c r="AA324" s="196">
        <f t="shared" si="48"/>
        <v>18630</v>
      </c>
      <c r="AB324" s="196">
        <f t="shared" si="48"/>
        <v>18630</v>
      </c>
      <c r="AC324" s="196">
        <f t="shared" si="48"/>
        <v>18630</v>
      </c>
      <c r="AD324" s="196">
        <f t="shared" si="48"/>
        <v>18630</v>
      </c>
      <c r="AE324" s="196">
        <f t="shared" si="48"/>
        <v>18630</v>
      </c>
      <c r="AF324" s="196">
        <f t="shared" si="48"/>
        <v>18630</v>
      </c>
      <c r="AG324" s="196">
        <f t="shared" si="48"/>
        <v>18630</v>
      </c>
      <c r="AH324" s="196">
        <f t="shared" si="48"/>
        <v>18630</v>
      </c>
      <c r="AI324" s="196">
        <f t="shared" si="48"/>
        <v>18630</v>
      </c>
      <c r="AJ324" s="196">
        <f t="shared" si="48"/>
        <v>18630</v>
      </c>
      <c r="AK324" s="196">
        <f t="shared" si="48"/>
        <v>18630</v>
      </c>
      <c r="AL324" s="196">
        <f t="shared" si="48"/>
        <v>18630</v>
      </c>
      <c r="AM324" s="196">
        <f t="shared" si="48"/>
        <v>18630</v>
      </c>
      <c r="AN324" s="196">
        <f t="shared" si="48"/>
        <v>18630</v>
      </c>
      <c r="AO324" s="196">
        <f t="shared" si="48"/>
        <v>18630</v>
      </c>
      <c r="AP324" s="196">
        <f t="shared" si="48"/>
        <v>18630</v>
      </c>
      <c r="AQ324" s="196">
        <f t="shared" si="48"/>
        <v>18630</v>
      </c>
      <c r="AR324" s="196">
        <f t="shared" si="48"/>
        <v>18630</v>
      </c>
      <c r="AS324" s="196">
        <f t="shared" si="48"/>
        <v>18630</v>
      </c>
      <c r="AT324" s="196">
        <f t="shared" si="48"/>
        <v>18630</v>
      </c>
      <c r="AU324" s="196">
        <f t="shared" si="48"/>
        <v>18630</v>
      </c>
      <c r="AV324" s="196">
        <f t="shared" si="48"/>
        <v>18630</v>
      </c>
      <c r="AW324" s="196">
        <f t="shared" si="48"/>
        <v>18630</v>
      </c>
      <c r="AX324" s="196">
        <f t="shared" si="48"/>
        <v>18630</v>
      </c>
      <c r="AY324" s="196">
        <f t="shared" si="48"/>
        <v>18630</v>
      </c>
      <c r="AZ324" s="196">
        <f t="shared" si="48"/>
        <v>18630</v>
      </c>
    </row>
    <row r="325">
      <c r="A325" s="168"/>
      <c r="B325" s="197" t="s">
        <v>418</v>
      </c>
      <c r="C325" s="274"/>
      <c r="D325" s="199">
        <v>0.0</v>
      </c>
      <c r="E325" s="199">
        <f t="shared" ref="E325:AZ325" si="49">$D324-E324</f>
        <v>2070</v>
      </c>
      <c r="F325" s="199">
        <f t="shared" si="49"/>
        <v>2070</v>
      </c>
      <c r="G325" s="199">
        <f t="shared" si="49"/>
        <v>2070</v>
      </c>
      <c r="H325" s="199">
        <f t="shared" si="49"/>
        <v>2070</v>
      </c>
      <c r="I325" s="199">
        <f t="shared" si="49"/>
        <v>2070</v>
      </c>
      <c r="J325" s="199">
        <f t="shared" si="49"/>
        <v>2070</v>
      </c>
      <c r="K325" s="199">
        <f t="shared" si="49"/>
        <v>2070</v>
      </c>
      <c r="L325" s="199">
        <f t="shared" si="49"/>
        <v>2070</v>
      </c>
      <c r="M325" s="199">
        <f t="shared" si="49"/>
        <v>2070</v>
      </c>
      <c r="N325" s="199">
        <f t="shared" si="49"/>
        <v>2070</v>
      </c>
      <c r="O325" s="199">
        <f t="shared" si="49"/>
        <v>2070</v>
      </c>
      <c r="P325" s="199">
        <f t="shared" si="49"/>
        <v>2070</v>
      </c>
      <c r="Q325" s="199">
        <f t="shared" si="49"/>
        <v>2070</v>
      </c>
      <c r="R325" s="199">
        <f t="shared" si="49"/>
        <v>2070</v>
      </c>
      <c r="S325" s="199">
        <f t="shared" si="49"/>
        <v>2070</v>
      </c>
      <c r="T325" s="199">
        <f t="shared" si="49"/>
        <v>2070</v>
      </c>
      <c r="U325" s="199">
        <f t="shared" si="49"/>
        <v>2070</v>
      </c>
      <c r="V325" s="199">
        <f t="shared" si="49"/>
        <v>2070</v>
      </c>
      <c r="W325" s="199">
        <f t="shared" si="49"/>
        <v>2070</v>
      </c>
      <c r="X325" s="199">
        <f t="shared" si="49"/>
        <v>2070</v>
      </c>
      <c r="Y325" s="199">
        <f t="shared" si="49"/>
        <v>2070</v>
      </c>
      <c r="Z325" s="199">
        <f t="shared" si="49"/>
        <v>2070</v>
      </c>
      <c r="AA325" s="199">
        <f t="shared" si="49"/>
        <v>2070</v>
      </c>
      <c r="AB325" s="199">
        <f t="shared" si="49"/>
        <v>2070</v>
      </c>
      <c r="AC325" s="199">
        <f t="shared" si="49"/>
        <v>2070</v>
      </c>
      <c r="AD325" s="199">
        <f t="shared" si="49"/>
        <v>2070</v>
      </c>
      <c r="AE325" s="199">
        <f t="shared" si="49"/>
        <v>2070</v>
      </c>
      <c r="AF325" s="199">
        <f t="shared" si="49"/>
        <v>2070</v>
      </c>
      <c r="AG325" s="199">
        <f t="shared" si="49"/>
        <v>2070</v>
      </c>
      <c r="AH325" s="199">
        <f t="shared" si="49"/>
        <v>2070</v>
      </c>
      <c r="AI325" s="199">
        <f t="shared" si="49"/>
        <v>2070</v>
      </c>
      <c r="AJ325" s="199">
        <f t="shared" si="49"/>
        <v>2070</v>
      </c>
      <c r="AK325" s="199">
        <f t="shared" si="49"/>
        <v>2070</v>
      </c>
      <c r="AL325" s="199">
        <f t="shared" si="49"/>
        <v>2070</v>
      </c>
      <c r="AM325" s="199">
        <f t="shared" si="49"/>
        <v>2070</v>
      </c>
      <c r="AN325" s="199">
        <f t="shared" si="49"/>
        <v>2070</v>
      </c>
      <c r="AO325" s="199">
        <f t="shared" si="49"/>
        <v>2070</v>
      </c>
      <c r="AP325" s="199">
        <f t="shared" si="49"/>
        <v>2070</v>
      </c>
      <c r="AQ325" s="199">
        <f t="shared" si="49"/>
        <v>2070</v>
      </c>
      <c r="AR325" s="199">
        <f t="shared" si="49"/>
        <v>2070</v>
      </c>
      <c r="AS325" s="199">
        <f t="shared" si="49"/>
        <v>2070</v>
      </c>
      <c r="AT325" s="199">
        <f t="shared" si="49"/>
        <v>2070</v>
      </c>
      <c r="AU325" s="199">
        <f t="shared" si="49"/>
        <v>2070</v>
      </c>
      <c r="AV325" s="199">
        <f t="shared" si="49"/>
        <v>2070</v>
      </c>
      <c r="AW325" s="199">
        <f t="shared" si="49"/>
        <v>2070</v>
      </c>
      <c r="AX325" s="199">
        <f t="shared" si="49"/>
        <v>2070</v>
      </c>
      <c r="AY325" s="199">
        <f t="shared" si="49"/>
        <v>2070</v>
      </c>
      <c r="AZ325" s="199">
        <f t="shared" si="49"/>
        <v>2070</v>
      </c>
    </row>
    <row r="326">
      <c r="A326" s="168"/>
      <c r="B326" s="126"/>
      <c r="C326" s="274"/>
      <c r="D326" s="209"/>
      <c r="E326" s="209"/>
      <c r="F326" s="209"/>
      <c r="G326" s="209"/>
      <c r="H326" s="209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  <c r="AC326" s="266"/>
      <c r="AD326" s="266"/>
      <c r="AE326" s="266"/>
      <c r="AF326" s="266"/>
      <c r="AG326" s="266"/>
      <c r="AH326" s="266"/>
      <c r="AI326" s="266"/>
      <c r="AJ326" s="266"/>
      <c r="AK326" s="266"/>
      <c r="AL326" s="266"/>
      <c r="AM326" s="266"/>
      <c r="AN326" s="266"/>
      <c r="AO326" s="266"/>
      <c r="AP326" s="266"/>
      <c r="AQ326" s="266"/>
      <c r="AR326" s="266"/>
      <c r="AS326" s="266"/>
      <c r="AT326" s="266"/>
      <c r="AU326" s="266"/>
      <c r="AV326" s="266"/>
      <c r="AW326" s="266"/>
      <c r="AX326" s="266"/>
      <c r="AY326" s="266"/>
      <c r="AZ326" s="266"/>
    </row>
    <row r="327">
      <c r="A327" s="168"/>
      <c r="B327" s="126" t="s">
        <v>340</v>
      </c>
      <c r="C327" s="274"/>
      <c r="D327" s="209"/>
      <c r="E327" s="209"/>
      <c r="F327" s="209"/>
      <c r="G327" s="209"/>
      <c r="H327" s="209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  <c r="AC327" s="266"/>
      <c r="AD327" s="266"/>
      <c r="AE327" s="266"/>
      <c r="AF327" s="266"/>
      <c r="AG327" s="266"/>
      <c r="AH327" s="266"/>
      <c r="AI327" s="266"/>
      <c r="AJ327" s="266"/>
      <c r="AK327" s="266"/>
      <c r="AL327" s="266"/>
      <c r="AM327" s="266"/>
      <c r="AN327" s="266"/>
      <c r="AO327" s="266"/>
      <c r="AP327" s="266"/>
      <c r="AQ327" s="266"/>
      <c r="AR327" s="266"/>
      <c r="AS327" s="266"/>
      <c r="AT327" s="266"/>
      <c r="AU327" s="266"/>
      <c r="AV327" s="266"/>
      <c r="AW327" s="266"/>
      <c r="AX327" s="266"/>
      <c r="AY327" s="266"/>
      <c r="AZ327" s="266"/>
    </row>
    <row r="328">
      <c r="A328" s="274"/>
      <c r="B328" s="274"/>
      <c r="C328" s="274"/>
      <c r="D328" s="85" t="s">
        <v>285</v>
      </c>
      <c r="E328" s="201">
        <v>46143.0</v>
      </c>
      <c r="F328" s="201">
        <v>46508.0</v>
      </c>
      <c r="G328" s="201">
        <v>46874.0</v>
      </c>
      <c r="H328" s="201">
        <v>47239.0</v>
      </c>
      <c r="I328" s="201">
        <v>47604.0</v>
      </c>
      <c r="J328" s="201">
        <v>47969.0</v>
      </c>
      <c r="K328" s="201">
        <v>48335.0</v>
      </c>
      <c r="L328" s="201">
        <v>48700.0</v>
      </c>
      <c r="M328" s="201">
        <v>49065.0</v>
      </c>
      <c r="N328" s="201">
        <v>49430.0</v>
      </c>
      <c r="O328" s="201">
        <v>49796.0</v>
      </c>
      <c r="P328" s="201">
        <v>50161.0</v>
      </c>
      <c r="Q328" s="201">
        <v>50526.0</v>
      </c>
      <c r="R328" s="201">
        <v>50891.0</v>
      </c>
      <c r="S328" s="201">
        <v>51257.0</v>
      </c>
      <c r="T328" s="201">
        <v>51622.0</v>
      </c>
      <c r="U328" s="201">
        <v>51987.0</v>
      </c>
      <c r="V328" s="201">
        <v>52352.0</v>
      </c>
      <c r="W328" s="201">
        <v>52718.0</v>
      </c>
      <c r="X328" s="201">
        <v>53083.0</v>
      </c>
      <c r="Y328" s="201">
        <v>53448.0</v>
      </c>
      <c r="Z328" s="201">
        <v>53813.0</v>
      </c>
      <c r="AA328" s="201">
        <v>54179.0</v>
      </c>
      <c r="AB328" s="201">
        <v>54544.0</v>
      </c>
      <c r="AC328" s="201">
        <v>54909.0</v>
      </c>
      <c r="AD328" s="201">
        <v>55274.0</v>
      </c>
      <c r="AE328" s="201">
        <v>55640.0</v>
      </c>
      <c r="AF328" s="201">
        <v>56005.0</v>
      </c>
      <c r="AG328" s="201">
        <v>56370.0</v>
      </c>
      <c r="AH328" s="201">
        <v>56735.0</v>
      </c>
      <c r="AI328" s="201">
        <v>57101.0</v>
      </c>
      <c r="AJ328" s="201">
        <v>57466.0</v>
      </c>
      <c r="AK328" s="201">
        <v>57831.0</v>
      </c>
      <c r="AL328" s="201">
        <v>58196.0</v>
      </c>
      <c r="AM328" s="193">
        <v>58562.0</v>
      </c>
      <c r="AN328" s="193">
        <v>58927.0</v>
      </c>
      <c r="AO328" s="193">
        <v>59292.0</v>
      </c>
      <c r="AP328" s="193">
        <v>59657.0</v>
      </c>
      <c r="AQ328" s="193">
        <v>60023.0</v>
      </c>
      <c r="AR328" s="193">
        <v>60388.0</v>
      </c>
      <c r="AS328" s="193">
        <v>60753.0</v>
      </c>
      <c r="AT328" s="193">
        <v>61118.0</v>
      </c>
      <c r="AU328" s="193">
        <v>61484.0</v>
      </c>
      <c r="AV328" s="193">
        <v>61849.0</v>
      </c>
      <c r="AW328" s="193">
        <v>62214.0</v>
      </c>
      <c r="AX328" s="193">
        <v>62579.0</v>
      </c>
      <c r="AY328" s="193">
        <v>62945.0</v>
      </c>
      <c r="AZ328" s="193">
        <v>63310.0</v>
      </c>
    </row>
    <row r="329">
      <c r="A329" s="274"/>
      <c r="B329" s="197" t="s">
        <v>400</v>
      </c>
      <c r="C329" s="274"/>
      <c r="D329" s="275">
        <v>0.0</v>
      </c>
      <c r="E329" s="203">
        <f t="shared" ref="E329:AZ329" si="50">D329+E325</f>
        <v>2070</v>
      </c>
      <c r="F329" s="203">
        <f t="shared" si="50"/>
        <v>4140</v>
      </c>
      <c r="G329" s="203">
        <f t="shared" si="50"/>
        <v>6210</v>
      </c>
      <c r="H329" s="203">
        <f t="shared" si="50"/>
        <v>8280</v>
      </c>
      <c r="I329" s="203">
        <f t="shared" si="50"/>
        <v>10350</v>
      </c>
      <c r="J329" s="203">
        <f t="shared" si="50"/>
        <v>12420</v>
      </c>
      <c r="K329" s="203">
        <f t="shared" si="50"/>
        <v>14490</v>
      </c>
      <c r="L329" s="203">
        <f t="shared" si="50"/>
        <v>16560</v>
      </c>
      <c r="M329" s="203">
        <f t="shared" si="50"/>
        <v>18630</v>
      </c>
      <c r="N329" s="203">
        <f t="shared" si="50"/>
        <v>20700</v>
      </c>
      <c r="O329" s="203">
        <f t="shared" si="50"/>
        <v>22770</v>
      </c>
      <c r="P329" s="203">
        <f t="shared" si="50"/>
        <v>24840</v>
      </c>
      <c r="Q329" s="203">
        <f t="shared" si="50"/>
        <v>26910</v>
      </c>
      <c r="R329" s="203">
        <f t="shared" si="50"/>
        <v>28980</v>
      </c>
      <c r="S329" s="203">
        <f t="shared" si="50"/>
        <v>31050</v>
      </c>
      <c r="T329" s="203">
        <f t="shared" si="50"/>
        <v>33120</v>
      </c>
      <c r="U329" s="203">
        <f t="shared" si="50"/>
        <v>35190</v>
      </c>
      <c r="V329" s="203">
        <f t="shared" si="50"/>
        <v>37260</v>
      </c>
      <c r="W329" s="203">
        <f t="shared" si="50"/>
        <v>39330</v>
      </c>
      <c r="X329" s="203">
        <f t="shared" si="50"/>
        <v>41400</v>
      </c>
      <c r="Y329" s="203">
        <f t="shared" si="50"/>
        <v>43470</v>
      </c>
      <c r="Z329" s="203">
        <f t="shared" si="50"/>
        <v>45540</v>
      </c>
      <c r="AA329" s="203">
        <f t="shared" si="50"/>
        <v>47610</v>
      </c>
      <c r="AB329" s="203">
        <f t="shared" si="50"/>
        <v>49680</v>
      </c>
      <c r="AC329" s="203">
        <f t="shared" si="50"/>
        <v>51750</v>
      </c>
      <c r="AD329" s="203">
        <f t="shared" si="50"/>
        <v>53820</v>
      </c>
      <c r="AE329" s="203">
        <f t="shared" si="50"/>
        <v>55890</v>
      </c>
      <c r="AF329" s="203">
        <f t="shared" si="50"/>
        <v>57960</v>
      </c>
      <c r="AG329" s="203">
        <f t="shared" si="50"/>
        <v>60030</v>
      </c>
      <c r="AH329" s="203">
        <f t="shared" si="50"/>
        <v>62100</v>
      </c>
      <c r="AI329" s="203">
        <f t="shared" si="50"/>
        <v>64170</v>
      </c>
      <c r="AJ329" s="203">
        <f t="shared" si="50"/>
        <v>66240</v>
      </c>
      <c r="AK329" s="203">
        <f t="shared" si="50"/>
        <v>68310</v>
      </c>
      <c r="AL329" s="203">
        <f t="shared" si="50"/>
        <v>70380</v>
      </c>
      <c r="AM329" s="203">
        <f t="shared" si="50"/>
        <v>72450</v>
      </c>
      <c r="AN329" s="203">
        <f t="shared" si="50"/>
        <v>74520</v>
      </c>
      <c r="AO329" s="203">
        <f t="shared" si="50"/>
        <v>76590</v>
      </c>
      <c r="AP329" s="203">
        <f t="shared" si="50"/>
        <v>78660</v>
      </c>
      <c r="AQ329" s="203">
        <f t="shared" si="50"/>
        <v>80730</v>
      </c>
      <c r="AR329" s="203">
        <f t="shared" si="50"/>
        <v>82800</v>
      </c>
      <c r="AS329" s="203">
        <f t="shared" si="50"/>
        <v>84870</v>
      </c>
      <c r="AT329" s="203">
        <f t="shared" si="50"/>
        <v>86940</v>
      </c>
      <c r="AU329" s="203">
        <f t="shared" si="50"/>
        <v>89010</v>
      </c>
      <c r="AV329" s="203">
        <f t="shared" si="50"/>
        <v>91080</v>
      </c>
      <c r="AW329" s="203">
        <f t="shared" si="50"/>
        <v>93150</v>
      </c>
      <c r="AX329" s="203">
        <f t="shared" si="50"/>
        <v>95220</v>
      </c>
      <c r="AY329" s="203">
        <f t="shared" si="50"/>
        <v>97290</v>
      </c>
      <c r="AZ329" s="203">
        <f t="shared" si="50"/>
        <v>99360</v>
      </c>
    </row>
    <row r="330">
      <c r="A330" s="274"/>
      <c r="B330" s="197" t="s">
        <v>401</v>
      </c>
      <c r="C330" s="274"/>
      <c r="D330" s="199">
        <f t="shared" ref="D330:AZ330" si="51">D329</f>
        <v>0</v>
      </c>
      <c r="E330" s="199">
        <f t="shared" si="51"/>
        <v>2070</v>
      </c>
      <c r="F330" s="199">
        <f t="shared" si="51"/>
        <v>4140</v>
      </c>
      <c r="G330" s="199">
        <f t="shared" si="51"/>
        <v>6210</v>
      </c>
      <c r="H330" s="199">
        <f t="shared" si="51"/>
        <v>8280</v>
      </c>
      <c r="I330" s="199">
        <f t="shared" si="51"/>
        <v>10350</v>
      </c>
      <c r="J330" s="199">
        <f t="shared" si="51"/>
        <v>12420</v>
      </c>
      <c r="K330" s="199">
        <f t="shared" si="51"/>
        <v>14490</v>
      </c>
      <c r="L330" s="199">
        <f t="shared" si="51"/>
        <v>16560</v>
      </c>
      <c r="M330" s="199">
        <f t="shared" si="51"/>
        <v>18630</v>
      </c>
      <c r="N330" s="199">
        <f t="shared" si="51"/>
        <v>20700</v>
      </c>
      <c r="O330" s="199">
        <f t="shared" si="51"/>
        <v>22770</v>
      </c>
      <c r="P330" s="199">
        <f t="shared" si="51"/>
        <v>24840</v>
      </c>
      <c r="Q330" s="199">
        <f t="shared" si="51"/>
        <v>26910</v>
      </c>
      <c r="R330" s="199">
        <f t="shared" si="51"/>
        <v>28980</v>
      </c>
      <c r="S330" s="199">
        <f t="shared" si="51"/>
        <v>31050</v>
      </c>
      <c r="T330" s="199">
        <f t="shared" si="51"/>
        <v>33120</v>
      </c>
      <c r="U330" s="199">
        <f t="shared" si="51"/>
        <v>35190</v>
      </c>
      <c r="V330" s="199">
        <f t="shared" si="51"/>
        <v>37260</v>
      </c>
      <c r="W330" s="199">
        <f t="shared" si="51"/>
        <v>39330</v>
      </c>
      <c r="X330" s="199">
        <f t="shared" si="51"/>
        <v>41400</v>
      </c>
      <c r="Y330" s="199">
        <f t="shared" si="51"/>
        <v>43470</v>
      </c>
      <c r="Z330" s="199">
        <f t="shared" si="51"/>
        <v>45540</v>
      </c>
      <c r="AA330" s="199">
        <f t="shared" si="51"/>
        <v>47610</v>
      </c>
      <c r="AB330" s="199">
        <f t="shared" si="51"/>
        <v>49680</v>
      </c>
      <c r="AC330" s="199">
        <f t="shared" si="51"/>
        <v>51750</v>
      </c>
      <c r="AD330" s="199">
        <f t="shared" si="51"/>
        <v>53820</v>
      </c>
      <c r="AE330" s="199">
        <f t="shared" si="51"/>
        <v>55890</v>
      </c>
      <c r="AF330" s="199">
        <f t="shared" si="51"/>
        <v>57960</v>
      </c>
      <c r="AG330" s="199">
        <f t="shared" si="51"/>
        <v>60030</v>
      </c>
      <c r="AH330" s="199">
        <f t="shared" si="51"/>
        <v>62100</v>
      </c>
      <c r="AI330" s="199">
        <f t="shared" si="51"/>
        <v>64170</v>
      </c>
      <c r="AJ330" s="199">
        <f t="shared" si="51"/>
        <v>66240</v>
      </c>
      <c r="AK330" s="199">
        <f t="shared" si="51"/>
        <v>68310</v>
      </c>
      <c r="AL330" s="199">
        <f t="shared" si="51"/>
        <v>70380</v>
      </c>
      <c r="AM330" s="199">
        <f t="shared" si="51"/>
        <v>72450</v>
      </c>
      <c r="AN330" s="199">
        <f t="shared" si="51"/>
        <v>74520</v>
      </c>
      <c r="AO330" s="199">
        <f t="shared" si="51"/>
        <v>76590</v>
      </c>
      <c r="AP330" s="199">
        <f t="shared" si="51"/>
        <v>78660</v>
      </c>
      <c r="AQ330" s="199">
        <f t="shared" si="51"/>
        <v>80730</v>
      </c>
      <c r="AR330" s="199">
        <f t="shared" si="51"/>
        <v>82800</v>
      </c>
      <c r="AS330" s="199">
        <f t="shared" si="51"/>
        <v>84870</v>
      </c>
      <c r="AT330" s="199">
        <f t="shared" si="51"/>
        <v>86940</v>
      </c>
      <c r="AU330" s="199">
        <f t="shared" si="51"/>
        <v>89010</v>
      </c>
      <c r="AV330" s="199">
        <f t="shared" si="51"/>
        <v>91080</v>
      </c>
      <c r="AW330" s="199">
        <f t="shared" si="51"/>
        <v>93150</v>
      </c>
      <c r="AX330" s="199">
        <f t="shared" si="51"/>
        <v>95220</v>
      </c>
      <c r="AY330" s="199">
        <f t="shared" si="51"/>
        <v>97290</v>
      </c>
      <c r="AZ330" s="199">
        <f t="shared" si="51"/>
        <v>99360</v>
      </c>
    </row>
    <row r="331">
      <c r="A331" s="168"/>
      <c r="B331" s="139"/>
      <c r="C331" s="168"/>
      <c r="D331" s="209"/>
      <c r="E331" s="209"/>
      <c r="F331" s="209"/>
      <c r="G331" s="209"/>
      <c r="H331" s="209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  <c r="AC331" s="266"/>
      <c r="AD331" s="266"/>
      <c r="AE331" s="266"/>
      <c r="AF331" s="266"/>
      <c r="AG331" s="266"/>
      <c r="AH331" s="266"/>
      <c r="AI331" s="266"/>
      <c r="AJ331" s="266"/>
      <c r="AK331" s="266"/>
      <c r="AL331" s="266"/>
      <c r="AM331" s="266"/>
      <c r="AN331" s="266"/>
      <c r="AO331" s="266"/>
      <c r="AP331" s="266"/>
      <c r="AQ331" s="266"/>
      <c r="AR331" s="266"/>
      <c r="AS331" s="266"/>
      <c r="AT331" s="266"/>
      <c r="AU331" s="266"/>
      <c r="AV331" s="266"/>
      <c r="AW331" s="266"/>
      <c r="AX331" s="266"/>
      <c r="AY331" s="266"/>
      <c r="AZ331" s="266"/>
    </row>
    <row r="332">
      <c r="A332" s="168"/>
      <c r="B332" s="139"/>
      <c r="C332" s="168"/>
      <c r="D332" s="209"/>
      <c r="E332" s="209"/>
      <c r="F332" s="209"/>
      <c r="G332" s="209"/>
      <c r="H332" s="209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  <c r="AC332" s="266"/>
      <c r="AD332" s="266"/>
      <c r="AE332" s="266"/>
      <c r="AF332" s="266"/>
      <c r="AG332" s="266"/>
      <c r="AH332" s="266"/>
      <c r="AI332" s="266"/>
      <c r="AJ332" s="266"/>
      <c r="AK332" s="266"/>
      <c r="AL332" s="266"/>
      <c r="AM332" s="266"/>
      <c r="AN332" s="266"/>
      <c r="AO332" s="266"/>
      <c r="AP332" s="266"/>
      <c r="AQ332" s="266"/>
      <c r="AR332" s="266"/>
      <c r="AS332" s="266"/>
      <c r="AT332" s="266"/>
      <c r="AU332" s="266"/>
      <c r="AV332" s="266"/>
      <c r="AW332" s="266"/>
      <c r="AX332" s="266"/>
      <c r="AY332" s="266"/>
      <c r="AZ332" s="266"/>
    </row>
    <row r="333">
      <c r="A333" s="168"/>
      <c r="B333" s="139" t="s">
        <v>309</v>
      </c>
      <c r="C333" s="168"/>
      <c r="D333" s="209"/>
      <c r="E333" s="209"/>
      <c r="F333" s="209"/>
      <c r="G333" s="209"/>
      <c r="H333" s="209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  <c r="AC333" s="266"/>
      <c r="AD333" s="266"/>
      <c r="AE333" s="266"/>
      <c r="AF333" s="266"/>
      <c r="AG333" s="266"/>
      <c r="AH333" s="266"/>
      <c r="AI333" s="266"/>
      <c r="AJ333" s="266"/>
      <c r="AK333" s="266"/>
      <c r="AL333" s="266"/>
      <c r="AM333" s="266"/>
      <c r="AN333" s="266"/>
      <c r="AO333" s="266"/>
      <c r="AP333" s="266"/>
      <c r="AQ333" s="266"/>
      <c r="AR333" s="266"/>
      <c r="AS333" s="266"/>
      <c r="AT333" s="266"/>
      <c r="AU333" s="266"/>
      <c r="AV333" s="266"/>
      <c r="AW333" s="266"/>
      <c r="AX333" s="266"/>
      <c r="AY333" s="266"/>
      <c r="AZ333" s="266"/>
    </row>
    <row r="334">
      <c r="A334" s="168"/>
      <c r="B334" s="168"/>
      <c r="C334" s="168"/>
      <c r="D334" s="267" t="s">
        <v>344</v>
      </c>
      <c r="E334" s="21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  <c r="AB334" s="168"/>
      <c r="AC334" s="168"/>
      <c r="AD334" s="168"/>
      <c r="AE334" s="168"/>
      <c r="AF334" s="168"/>
      <c r="AG334" s="168"/>
      <c r="AH334" s="168"/>
      <c r="AI334" s="168"/>
      <c r="AJ334" s="168"/>
      <c r="AK334" s="168"/>
      <c r="AL334" s="168"/>
      <c r="AM334" s="168"/>
      <c r="AN334" s="168"/>
      <c r="AO334" s="168"/>
      <c r="AP334" s="168"/>
      <c r="AQ334" s="168"/>
      <c r="AR334" s="168"/>
      <c r="AS334" s="168"/>
      <c r="AT334" s="168"/>
      <c r="AU334" s="168"/>
      <c r="AV334" s="168"/>
      <c r="AW334" s="168"/>
      <c r="AX334" s="168"/>
      <c r="AY334" s="168"/>
      <c r="AZ334" s="168"/>
    </row>
    <row r="335">
      <c r="A335" s="168"/>
      <c r="B335" s="168"/>
      <c r="C335" s="212"/>
      <c r="D335" s="268" t="s">
        <v>345</v>
      </c>
      <c r="E335" s="269" t="s">
        <v>251</v>
      </c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  <c r="AB335" s="168"/>
      <c r="AC335" s="168"/>
      <c r="AD335" s="168"/>
      <c r="AE335" s="168"/>
      <c r="AF335" s="168"/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168"/>
      <c r="AT335" s="168"/>
      <c r="AU335" s="168"/>
      <c r="AV335" s="168"/>
      <c r="AW335" s="168"/>
      <c r="AX335" s="168"/>
      <c r="AY335" s="168"/>
      <c r="AZ335" s="168"/>
    </row>
    <row r="336">
      <c r="A336" s="168"/>
      <c r="B336" s="175" t="str">
        <f>"1 year ("&amp;(Year(today())+1)&amp;")"</f>
        <v>1 year (2026)</v>
      </c>
      <c r="C336" s="215"/>
      <c r="D336" s="219">
        <f>E330</f>
        <v>2070</v>
      </c>
      <c r="E336" s="217" t="str">
        <f t="shared" ref="E336:E339" si="52">D336/$H65</f>
        <v>#DIV/0!</v>
      </c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  <c r="AB336" s="168"/>
      <c r="AC336" s="168"/>
      <c r="AD336" s="168"/>
      <c r="AE336" s="168"/>
      <c r="AF336" s="168"/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168"/>
      <c r="AT336" s="168"/>
      <c r="AU336" s="168"/>
      <c r="AV336" s="168"/>
      <c r="AW336" s="168"/>
      <c r="AX336" s="168"/>
      <c r="AY336" s="168"/>
      <c r="AZ336" s="168"/>
    </row>
    <row r="337">
      <c r="A337" s="168"/>
      <c r="B337" s="175" t="str">
        <f>"5 years ("&amp;(Year(today())+5)&amp;")"</f>
        <v>5 years (2030)</v>
      </c>
      <c r="C337" s="218"/>
      <c r="D337" s="219">
        <f>I330</f>
        <v>10350</v>
      </c>
      <c r="E337" s="217" t="str">
        <f t="shared" si="52"/>
        <v>#DIV/0!</v>
      </c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  <c r="AB337" s="168"/>
      <c r="AC337" s="168"/>
      <c r="AD337" s="168"/>
      <c r="AE337" s="168"/>
      <c r="AF337" s="168"/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168"/>
      <c r="AT337" s="168"/>
      <c r="AU337" s="168"/>
      <c r="AV337" s="168"/>
      <c r="AW337" s="168"/>
      <c r="AX337" s="168"/>
      <c r="AY337" s="168"/>
      <c r="AZ337" s="168"/>
    </row>
    <row r="338">
      <c r="A338" s="168"/>
      <c r="B338" s="175" t="str">
        <f>"10 years ("&amp;(Year(today())+10)&amp;")"</f>
        <v>10 years (2035)</v>
      </c>
      <c r="C338" s="218"/>
      <c r="D338" s="219">
        <f>N330</f>
        <v>20700</v>
      </c>
      <c r="E338" s="217" t="str">
        <f t="shared" si="52"/>
        <v>#DIV/0!</v>
      </c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  <c r="AB338" s="168"/>
      <c r="AC338" s="168"/>
      <c r="AD338" s="168"/>
      <c r="AE338" s="168"/>
      <c r="AF338" s="168"/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168"/>
      <c r="AT338" s="168"/>
      <c r="AU338" s="168"/>
      <c r="AV338" s="168"/>
      <c r="AW338" s="168"/>
      <c r="AX338" s="168"/>
      <c r="AY338" s="168"/>
      <c r="AZ338" s="168"/>
    </row>
    <row r="339">
      <c r="A339" s="168"/>
      <c r="B339" s="175" t="str">
        <f>"20 years ("&amp;(Year(today())+20)&amp;")"</f>
        <v>20 years (2045)</v>
      </c>
      <c r="C339" s="222"/>
      <c r="D339" s="219">
        <f>X330</f>
        <v>41400</v>
      </c>
      <c r="E339" s="217" t="str">
        <f t="shared" si="52"/>
        <v>#DIV/0!</v>
      </c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  <c r="AB339" s="168"/>
      <c r="AC339" s="168"/>
      <c r="AD339" s="168"/>
      <c r="AE339" s="168"/>
      <c r="AF339" s="168"/>
      <c r="AG339" s="168"/>
      <c r="AH339" s="168"/>
      <c r="AI339" s="168"/>
      <c r="AJ339" s="168"/>
      <c r="AK339" s="168"/>
      <c r="AL339" s="168"/>
      <c r="AM339" s="168"/>
      <c r="AN339" s="168"/>
      <c r="AO339" s="168"/>
      <c r="AP339" s="168"/>
      <c r="AQ339" s="168"/>
      <c r="AR339" s="168"/>
      <c r="AS339" s="168"/>
      <c r="AT339" s="168"/>
      <c r="AU339" s="168"/>
      <c r="AV339" s="168"/>
      <c r="AW339" s="168"/>
      <c r="AX339" s="168"/>
      <c r="AY339" s="168"/>
      <c r="AZ339" s="168"/>
    </row>
    <row r="340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  <c r="AB340" s="168"/>
      <c r="AC340" s="168"/>
      <c r="AD340" s="168"/>
      <c r="AE340" s="168"/>
      <c r="AF340" s="168"/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168"/>
      <c r="AT340" s="168"/>
      <c r="AU340" s="168"/>
      <c r="AV340" s="168"/>
      <c r="AW340" s="168"/>
      <c r="AX340" s="168"/>
      <c r="AY340" s="168"/>
      <c r="AZ340" s="168"/>
    </row>
    <row r="3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  <c r="AB341" s="168"/>
      <c r="AC341" s="168"/>
      <c r="AD341" s="168"/>
      <c r="AE341" s="168"/>
      <c r="AF341" s="168"/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168"/>
      <c r="AT341" s="168"/>
      <c r="AU341" s="168"/>
      <c r="AV341" s="168"/>
      <c r="AW341" s="168"/>
      <c r="AX341" s="168"/>
      <c r="AY341" s="168"/>
      <c r="AZ341" s="168"/>
    </row>
    <row r="342">
      <c r="A342" s="252" t="s">
        <v>419</v>
      </c>
      <c r="B342" s="252" t="s">
        <v>420</v>
      </c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  <c r="AB342" s="168"/>
      <c r="AC342" s="168"/>
      <c r="AD342" s="168"/>
      <c r="AE342" s="168"/>
      <c r="AF342" s="168"/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168"/>
      <c r="AT342" s="168"/>
      <c r="AU342" s="168"/>
      <c r="AV342" s="168"/>
      <c r="AW342" s="168"/>
      <c r="AX342" s="168"/>
      <c r="AY342" s="168"/>
      <c r="AZ342" s="168"/>
    </row>
    <row r="343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  <c r="AB343" s="168"/>
      <c r="AC343" s="168"/>
      <c r="AD343" s="168"/>
      <c r="AE343" s="168"/>
      <c r="AF343" s="168"/>
      <c r="AG343" s="168"/>
      <c r="AH343" s="168"/>
      <c r="AI343" s="168"/>
      <c r="AJ343" s="168"/>
      <c r="AK343" s="168"/>
      <c r="AL343" s="168"/>
      <c r="AM343" s="168"/>
      <c r="AN343" s="168"/>
      <c r="AO343" s="168"/>
      <c r="AP343" s="168"/>
      <c r="AQ343" s="168"/>
      <c r="AR343" s="168"/>
      <c r="AS343" s="168"/>
      <c r="AT343" s="168"/>
      <c r="AU343" s="168"/>
      <c r="AV343" s="168"/>
      <c r="AW343" s="168"/>
      <c r="AX343" s="168"/>
      <c r="AY343" s="168"/>
      <c r="AZ343" s="168"/>
    </row>
    <row r="344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  <c r="AB344" s="168"/>
      <c r="AC344" s="168"/>
      <c r="AD344" s="168"/>
      <c r="AE344" s="168"/>
      <c r="AF344" s="168"/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168"/>
      <c r="AT344" s="168"/>
      <c r="AU344" s="168"/>
      <c r="AV344" s="168"/>
      <c r="AW344" s="168"/>
      <c r="AX344" s="168"/>
      <c r="AY344" s="168"/>
      <c r="AZ344" s="168"/>
    </row>
    <row r="345">
      <c r="A345" s="168"/>
      <c r="B345" s="139" t="s">
        <v>280</v>
      </c>
      <c r="C345" s="170" t="s">
        <v>421</v>
      </c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  <c r="AB345" s="168"/>
      <c r="AC345" s="168"/>
      <c r="AD345" s="168"/>
      <c r="AE345" s="168"/>
      <c r="AF345" s="168"/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168"/>
      <c r="AT345" s="168"/>
      <c r="AU345" s="168"/>
      <c r="AV345" s="168"/>
      <c r="AW345" s="168"/>
      <c r="AX345" s="168"/>
      <c r="AY345" s="168"/>
      <c r="AZ345" s="168"/>
    </row>
    <row r="346">
      <c r="A346" s="168"/>
      <c r="B346" s="168"/>
      <c r="C346" s="224" t="s">
        <v>422</v>
      </c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  <c r="AB346" s="168"/>
      <c r="AC346" s="168"/>
      <c r="AD346" s="168"/>
      <c r="AE346" s="168"/>
      <c r="AF346" s="168"/>
      <c r="AG346" s="168"/>
      <c r="AH346" s="168"/>
      <c r="AI346" s="168"/>
      <c r="AJ346" s="168"/>
      <c r="AK346" s="168"/>
      <c r="AL346" s="168"/>
      <c r="AM346" s="168"/>
      <c r="AN346" s="168"/>
      <c r="AO346" s="168"/>
      <c r="AP346" s="168"/>
      <c r="AQ346" s="168"/>
      <c r="AR346" s="168"/>
      <c r="AS346" s="168"/>
      <c r="AT346" s="168"/>
      <c r="AU346" s="168"/>
      <c r="AV346" s="168"/>
      <c r="AW346" s="168"/>
      <c r="AX346" s="168"/>
      <c r="AY346" s="168"/>
      <c r="AZ346" s="168"/>
    </row>
    <row r="347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  <c r="AB347" s="168"/>
      <c r="AC347" s="168"/>
      <c r="AD347" s="168"/>
      <c r="AE347" s="168"/>
      <c r="AF347" s="168"/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168"/>
      <c r="AT347" s="168"/>
      <c r="AU347" s="168"/>
      <c r="AV347" s="168"/>
      <c r="AW347" s="168"/>
      <c r="AX347" s="168"/>
      <c r="AY347" s="168"/>
      <c r="AZ347" s="168"/>
    </row>
    <row r="348">
      <c r="A348" s="168"/>
      <c r="B348" s="259" t="s">
        <v>314</v>
      </c>
      <c r="C348" s="173" t="s">
        <v>423</v>
      </c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  <c r="AB348" s="168"/>
      <c r="AC348" s="168"/>
      <c r="AD348" s="168"/>
      <c r="AE348" s="168"/>
      <c r="AF348" s="168"/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168"/>
      <c r="AT348" s="168"/>
      <c r="AU348" s="168"/>
      <c r="AV348" s="168"/>
      <c r="AW348" s="168"/>
      <c r="AX348" s="168"/>
      <c r="AY348" s="168"/>
      <c r="AZ348" s="168"/>
    </row>
    <row r="349">
      <c r="A349" s="168"/>
      <c r="B349" s="259" t="s">
        <v>424</v>
      </c>
      <c r="C349" s="173" t="s">
        <v>425</v>
      </c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  <c r="AB349" s="168"/>
      <c r="AC349" s="168"/>
      <c r="AD349" s="168"/>
      <c r="AE349" s="168"/>
      <c r="AF349" s="168"/>
      <c r="AG349" s="168"/>
      <c r="AH349" s="168"/>
      <c r="AI349" s="168"/>
      <c r="AJ349" s="168"/>
      <c r="AK349" s="168"/>
      <c r="AL349" s="168"/>
      <c r="AM349" s="168"/>
      <c r="AN349" s="168"/>
      <c r="AO349" s="168"/>
      <c r="AP349" s="168"/>
      <c r="AQ349" s="168"/>
      <c r="AR349" s="168"/>
      <c r="AS349" s="168"/>
      <c r="AT349" s="168"/>
      <c r="AU349" s="168"/>
      <c r="AV349" s="168"/>
      <c r="AW349" s="168"/>
      <c r="AX349" s="168"/>
      <c r="AY349" s="168"/>
      <c r="AZ349" s="168"/>
    </row>
    <row r="350">
      <c r="A350" s="168"/>
      <c r="B350" s="259" t="s">
        <v>316</v>
      </c>
      <c r="C350" s="173" t="s">
        <v>317</v>
      </c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  <c r="AB350" s="168"/>
      <c r="AC350" s="168"/>
      <c r="AD350" s="168"/>
      <c r="AE350" s="168"/>
      <c r="AF350" s="168"/>
      <c r="AG350" s="168"/>
      <c r="AH350" s="168"/>
      <c r="AI350" s="168"/>
      <c r="AJ350" s="168"/>
      <c r="AK350" s="168"/>
      <c r="AL350" s="168"/>
      <c r="AM350" s="168"/>
      <c r="AN350" s="168"/>
      <c r="AO350" s="168"/>
      <c r="AP350" s="168"/>
      <c r="AQ350" s="168"/>
      <c r="AR350" s="168"/>
      <c r="AS350" s="168"/>
      <c r="AT350" s="168"/>
      <c r="AU350" s="168"/>
      <c r="AV350" s="168"/>
      <c r="AW350" s="168"/>
      <c r="AX350" s="168"/>
      <c r="AY350" s="168"/>
      <c r="AZ350" s="168"/>
    </row>
    <row r="351">
      <c r="A351" s="168"/>
      <c r="B351" s="259" t="s">
        <v>318</v>
      </c>
      <c r="C351" s="173" t="s">
        <v>319</v>
      </c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  <c r="AB351" s="168"/>
      <c r="AC351" s="168"/>
      <c r="AD351" s="168"/>
      <c r="AE351" s="168"/>
      <c r="AF351" s="168"/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168"/>
      <c r="AT351" s="168"/>
      <c r="AU351" s="168"/>
      <c r="AV351" s="168"/>
      <c r="AW351" s="168"/>
      <c r="AX351" s="168"/>
      <c r="AY351" s="168"/>
      <c r="AZ351" s="168"/>
    </row>
    <row r="352">
      <c r="A352" s="168"/>
      <c r="B352" s="276" t="s">
        <v>426</v>
      </c>
      <c r="C352" s="277">
        <f>uk_lt_ir</f>
        <v>0.035</v>
      </c>
      <c r="D352" s="278" t="s">
        <v>427</v>
      </c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  <c r="AB352" s="168"/>
      <c r="AC352" s="168"/>
      <c r="AD352" s="168"/>
      <c r="AE352" s="168"/>
      <c r="AF352" s="168"/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168"/>
      <c r="AT352" s="168"/>
      <c r="AU352" s="168"/>
      <c r="AV352" s="168"/>
      <c r="AW352" s="168"/>
      <c r="AX352" s="168"/>
      <c r="AY352" s="168"/>
      <c r="AZ352" s="168"/>
    </row>
    <row r="353">
      <c r="A353" s="168"/>
      <c r="B353" s="168"/>
      <c r="C353" s="192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  <c r="AB353" s="168"/>
      <c r="AC353" s="168"/>
      <c r="AD353" s="168"/>
      <c r="AE353" s="168"/>
      <c r="AF353" s="168"/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168"/>
      <c r="AT353" s="168"/>
      <c r="AU353" s="168"/>
      <c r="AV353" s="168"/>
      <c r="AW353" s="168"/>
      <c r="AX353" s="168"/>
      <c r="AY353" s="168"/>
      <c r="AZ353" s="168"/>
    </row>
    <row r="354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  <c r="AB354" s="168"/>
      <c r="AC354" s="168"/>
      <c r="AD354" s="168"/>
      <c r="AE354" s="168"/>
      <c r="AF354" s="168"/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168"/>
      <c r="AT354" s="168"/>
      <c r="AU354" s="168"/>
      <c r="AV354" s="168"/>
      <c r="AW354" s="168"/>
      <c r="AX354" s="168"/>
      <c r="AY354" s="168"/>
      <c r="AZ354" s="168"/>
    </row>
    <row r="355">
      <c r="A355" s="168"/>
      <c r="B355" s="126" t="s">
        <v>340</v>
      </c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  <c r="AB355" s="168"/>
      <c r="AC355" s="168"/>
      <c r="AD355" s="168"/>
      <c r="AE355" s="168"/>
      <c r="AF355" s="168"/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168"/>
      <c r="AT355" s="168"/>
      <c r="AU355" s="168"/>
      <c r="AV355" s="168"/>
      <c r="AW355" s="168"/>
      <c r="AX355" s="168"/>
      <c r="AY355" s="168"/>
      <c r="AZ355" s="168"/>
    </row>
    <row r="356">
      <c r="A356" s="168"/>
      <c r="B356" s="168"/>
      <c r="C356" s="168"/>
      <c r="D356" s="85" t="s">
        <v>285</v>
      </c>
      <c r="E356" s="193">
        <v>46143.0</v>
      </c>
      <c r="F356" s="193">
        <v>46508.0</v>
      </c>
      <c r="G356" s="193">
        <v>46874.0</v>
      </c>
      <c r="H356" s="193">
        <v>47239.0</v>
      </c>
      <c r="I356" s="193">
        <v>47604.0</v>
      </c>
      <c r="J356" s="193">
        <v>47969.0</v>
      </c>
      <c r="K356" s="193">
        <v>48335.0</v>
      </c>
      <c r="L356" s="193">
        <v>48700.0</v>
      </c>
      <c r="M356" s="193">
        <v>49065.0</v>
      </c>
      <c r="N356" s="193">
        <v>49430.0</v>
      </c>
      <c r="O356" s="193">
        <v>49796.0</v>
      </c>
      <c r="P356" s="193">
        <v>50161.0</v>
      </c>
      <c r="Q356" s="193">
        <v>50526.0</v>
      </c>
      <c r="R356" s="193">
        <v>50891.0</v>
      </c>
      <c r="S356" s="193">
        <v>51257.0</v>
      </c>
      <c r="T356" s="193">
        <v>51622.0</v>
      </c>
      <c r="U356" s="193">
        <v>51987.0</v>
      </c>
      <c r="V356" s="193">
        <v>52352.0</v>
      </c>
      <c r="W356" s="193">
        <v>52718.0</v>
      </c>
      <c r="X356" s="193">
        <v>53083.0</v>
      </c>
      <c r="Y356" s="193">
        <v>53448.0</v>
      </c>
      <c r="Z356" s="193">
        <v>53813.0</v>
      </c>
      <c r="AA356" s="193">
        <v>54179.0</v>
      </c>
      <c r="AB356" s="193">
        <v>54544.0</v>
      </c>
      <c r="AC356" s="193">
        <v>54909.0</v>
      </c>
      <c r="AD356" s="193">
        <v>55274.0</v>
      </c>
      <c r="AE356" s="193">
        <v>55640.0</v>
      </c>
      <c r="AF356" s="193">
        <v>56005.0</v>
      </c>
      <c r="AG356" s="193">
        <v>56370.0</v>
      </c>
      <c r="AH356" s="193">
        <v>56735.0</v>
      </c>
      <c r="AI356" s="193">
        <v>57101.0</v>
      </c>
      <c r="AJ356" s="193">
        <v>57466.0</v>
      </c>
      <c r="AK356" s="193">
        <v>57831.0</v>
      </c>
      <c r="AL356" s="193">
        <v>58196.0</v>
      </c>
      <c r="AM356" s="193">
        <v>58562.0</v>
      </c>
      <c r="AN356" s="193">
        <v>58927.0</v>
      </c>
      <c r="AO356" s="193">
        <v>59292.0</v>
      </c>
      <c r="AP356" s="193">
        <v>59657.0</v>
      </c>
      <c r="AQ356" s="193">
        <v>60023.0</v>
      </c>
      <c r="AR356" s="193">
        <v>60388.0</v>
      </c>
      <c r="AS356" s="193">
        <v>60753.0</v>
      </c>
      <c r="AT356" s="193">
        <v>61118.0</v>
      </c>
      <c r="AU356" s="193">
        <v>61484.0</v>
      </c>
      <c r="AV356" s="193">
        <v>61849.0</v>
      </c>
      <c r="AW356" s="193">
        <v>62214.0</v>
      </c>
      <c r="AX356" s="193">
        <v>62579.0</v>
      </c>
      <c r="AY356" s="193">
        <v>62945.0</v>
      </c>
      <c r="AZ356" s="193">
        <v>63310.0</v>
      </c>
    </row>
    <row r="357">
      <c r="A357" s="168"/>
      <c r="B357" s="242" t="s">
        <v>386</v>
      </c>
      <c r="C357" s="168"/>
      <c r="D357" s="196">
        <f t="shared" ref="D357:AZ357" si="53">max(D14+D229+D149,0)</f>
        <v>0</v>
      </c>
      <c r="E357" s="196">
        <f t="shared" si="53"/>
        <v>1553.605248</v>
      </c>
      <c r="F357" s="196">
        <f t="shared" si="53"/>
        <v>1553.605248</v>
      </c>
      <c r="G357" s="196">
        <f t="shared" si="53"/>
        <v>1553.605248</v>
      </c>
      <c r="H357" s="196">
        <f t="shared" si="53"/>
        <v>1553.605248</v>
      </c>
      <c r="I357" s="196">
        <f t="shared" si="53"/>
        <v>1553.605248</v>
      </c>
      <c r="J357" s="196">
        <f t="shared" si="53"/>
        <v>1553.605248</v>
      </c>
      <c r="K357" s="196">
        <f t="shared" si="53"/>
        <v>1553.605248</v>
      </c>
      <c r="L357" s="196">
        <f t="shared" si="53"/>
        <v>1553.605248</v>
      </c>
      <c r="M357" s="196">
        <f t="shared" si="53"/>
        <v>1553.605248</v>
      </c>
      <c r="N357" s="196">
        <f t="shared" si="53"/>
        <v>1553.605248</v>
      </c>
      <c r="O357" s="196">
        <f t="shared" si="53"/>
        <v>1553.605248</v>
      </c>
      <c r="P357" s="196">
        <f t="shared" si="53"/>
        <v>1553.605248</v>
      </c>
      <c r="Q357" s="196">
        <f t="shared" si="53"/>
        <v>1553.605248</v>
      </c>
      <c r="R357" s="196">
        <f t="shared" si="53"/>
        <v>1553.605248</v>
      </c>
      <c r="S357" s="196">
        <f t="shared" si="53"/>
        <v>1553.605248</v>
      </c>
      <c r="T357" s="196">
        <f t="shared" si="53"/>
        <v>1553.605248</v>
      </c>
      <c r="U357" s="196">
        <f t="shared" si="53"/>
        <v>1553.605248</v>
      </c>
      <c r="V357" s="196">
        <f t="shared" si="53"/>
        <v>1553.605248</v>
      </c>
      <c r="W357" s="196">
        <f t="shared" si="53"/>
        <v>1553.605248</v>
      </c>
      <c r="X357" s="196">
        <f t="shared" si="53"/>
        <v>1553.605248</v>
      </c>
      <c r="Y357" s="196">
        <f t="shared" si="53"/>
        <v>1553.605248</v>
      </c>
      <c r="Z357" s="196">
        <f t="shared" si="53"/>
        <v>1553.605248</v>
      </c>
      <c r="AA357" s="196">
        <f t="shared" si="53"/>
        <v>1553.605248</v>
      </c>
      <c r="AB357" s="196">
        <f t="shared" si="53"/>
        <v>1553.605248</v>
      </c>
      <c r="AC357" s="196">
        <f t="shared" si="53"/>
        <v>27530.16488</v>
      </c>
      <c r="AD357" s="196">
        <f t="shared" si="53"/>
        <v>35530.16488</v>
      </c>
      <c r="AE357" s="196">
        <f t="shared" si="53"/>
        <v>35530.16488</v>
      </c>
      <c r="AF357" s="196">
        <f t="shared" si="53"/>
        <v>35530.16488</v>
      </c>
      <c r="AG357" s="196">
        <f t="shared" si="53"/>
        <v>35530.16488</v>
      </c>
      <c r="AH357" s="196">
        <f t="shared" si="53"/>
        <v>35530.16488</v>
      </c>
      <c r="AI357" s="196">
        <f t="shared" si="53"/>
        <v>35530.16488</v>
      </c>
      <c r="AJ357" s="196">
        <f t="shared" si="53"/>
        <v>35530.16488</v>
      </c>
      <c r="AK357" s="196">
        <f t="shared" si="53"/>
        <v>35530.16488</v>
      </c>
      <c r="AL357" s="196">
        <f t="shared" si="53"/>
        <v>35530.16488</v>
      </c>
      <c r="AM357" s="196">
        <f t="shared" si="53"/>
        <v>35530.16488</v>
      </c>
      <c r="AN357" s="196">
        <f t="shared" si="53"/>
        <v>100845.56</v>
      </c>
      <c r="AO357" s="196">
        <f t="shared" si="53"/>
        <v>100845.56</v>
      </c>
      <c r="AP357" s="196">
        <f t="shared" si="53"/>
        <v>100845.56</v>
      </c>
      <c r="AQ357" s="196">
        <f t="shared" si="53"/>
        <v>100845.56</v>
      </c>
      <c r="AR357" s="196">
        <f t="shared" si="53"/>
        <v>100845.56</v>
      </c>
      <c r="AS357" s="196">
        <f t="shared" si="53"/>
        <v>100845.56</v>
      </c>
      <c r="AT357" s="196">
        <f t="shared" si="53"/>
        <v>100845.56</v>
      </c>
      <c r="AU357" s="196">
        <f t="shared" si="53"/>
        <v>100845.56</v>
      </c>
      <c r="AV357" s="196">
        <f t="shared" si="53"/>
        <v>100845.56</v>
      </c>
      <c r="AW357" s="196">
        <f t="shared" si="53"/>
        <v>100845.56</v>
      </c>
      <c r="AX357" s="196">
        <f t="shared" si="53"/>
        <v>100845.56</v>
      </c>
      <c r="AY357" s="196">
        <f t="shared" si="53"/>
        <v>100845.56</v>
      </c>
      <c r="AZ357" s="196">
        <f t="shared" si="53"/>
        <v>100845.56</v>
      </c>
    </row>
    <row r="358">
      <c r="A358" s="168"/>
      <c r="B358" s="197" t="s">
        <v>428</v>
      </c>
      <c r="C358" s="168"/>
      <c r="D358" s="196">
        <f>(C358*(1+(uk_lt_ir)))+D357</f>
        <v>0</v>
      </c>
      <c r="E358" s="196">
        <f>(D358*(1+(uk_lt_ir)))+E357</f>
        <v>1553.605248</v>
      </c>
      <c r="F358" s="196">
        <f>(E358*(1+(uk_lt_ir)))+F357</f>
        <v>3161.586681</v>
      </c>
      <c r="G358" s="196">
        <f>(F358*(1+(uk_lt_ir)))+G357</f>
        <v>4825.847463</v>
      </c>
      <c r="H358" s="196">
        <f>(G358*(1+(uk_lt_ir)))+H357</f>
        <v>6548.357373</v>
      </c>
      <c r="I358" s="196">
        <f>(H358*(1+(uk_lt_ir)))+I357</f>
        <v>8331.155129</v>
      </c>
      <c r="J358" s="196">
        <f>(I358*(1+(uk_lt_ir)))+J357</f>
        <v>10176.35081</v>
      </c>
      <c r="K358" s="196">
        <f>(J358*(1+(uk_lt_ir)))+K357</f>
        <v>12086.12833</v>
      </c>
      <c r="L358" s="196">
        <f>(K358*(1+(uk_lt_ir)))+L357</f>
        <v>14062.74807</v>
      </c>
      <c r="M358" s="196">
        <f>(L358*(1+(uk_lt_ir)))+M357</f>
        <v>16108.5495</v>
      </c>
      <c r="N358" s="196">
        <f>(M358*(1+(uk_lt_ir)))+N357</f>
        <v>18225.95399</v>
      </c>
      <c r="O358" s="196">
        <f>(N358*(1+(uk_lt_ir)))+O357</f>
        <v>20417.46762</v>
      </c>
      <c r="P358" s="196">
        <f>(O358*(1+(uk_lt_ir)))+P357</f>
        <v>22685.68424</v>
      </c>
      <c r="Q358" s="196">
        <f>(P358*(1+(uk_lt_ir)))+Q357</f>
        <v>25033.28844</v>
      </c>
      <c r="R358" s="196">
        <f>(Q358*(1+(uk_lt_ir)))+R357</f>
        <v>27463.05878</v>
      </c>
      <c r="S358" s="196">
        <f>(R358*(1+(uk_lt_ir)))+S357</f>
        <v>29977.87109</v>
      </c>
      <c r="T358" s="196">
        <f>(S358*(1+(uk_lt_ir)))+T357</f>
        <v>32580.70182</v>
      </c>
      <c r="U358" s="196">
        <f>(T358*(1+(uk_lt_ir)))+U357</f>
        <v>35274.63163</v>
      </c>
      <c r="V358" s="196">
        <f>(U358*(1+(uk_lt_ir)))+V357</f>
        <v>38062.84899</v>
      </c>
      <c r="W358" s="196">
        <f>(V358*(1+(uk_lt_ir)))+W357</f>
        <v>40948.65395</v>
      </c>
      <c r="X358" s="196">
        <f>(W358*(1+(uk_lt_ir)))+X357</f>
        <v>43935.46209</v>
      </c>
      <c r="Y358" s="196">
        <f>(X358*(1+(uk_lt_ir)))+Y357</f>
        <v>47026.80851</v>
      </c>
      <c r="Z358" s="196">
        <f>(Y358*(1+(uk_lt_ir)))+Z357</f>
        <v>50226.35206</v>
      </c>
      <c r="AA358" s="196">
        <f>(Z358*(1+(uk_lt_ir)))+AA357</f>
        <v>53537.87963</v>
      </c>
      <c r="AB358" s="196">
        <f>(AA358*(1+(uk_lt_ir)))+AB357</f>
        <v>56965.31066</v>
      </c>
      <c r="AC358" s="196">
        <f>(AB358*(1+(uk_lt_ir)))+AC357</f>
        <v>86489.26142</v>
      </c>
      <c r="AD358" s="196">
        <f>(AC358*(1+(uk_lt_ir)))+AD357</f>
        <v>125046.5505</v>
      </c>
      <c r="AE358" s="196">
        <f>(AD358*(1+(uk_lt_ir)))+AE357</f>
        <v>164953.3446</v>
      </c>
      <c r="AF358" s="196">
        <f>(AE358*(1+(uk_lt_ir)))+AF357</f>
        <v>206256.8765</v>
      </c>
      <c r="AG358" s="196">
        <f>(AF358*(1+(uk_lt_ir)))+AG357</f>
        <v>249006.0321</v>
      </c>
      <c r="AH358" s="196">
        <f>(AG358*(1+(uk_lt_ir)))+AH357</f>
        <v>293251.4081</v>
      </c>
      <c r="AI358" s="196">
        <f>(AH358*(1+(uk_lt_ir)))+AI357</f>
        <v>339045.3723</v>
      </c>
      <c r="AJ358" s="196">
        <f>(AI358*(1+(uk_lt_ir)))+AJ357</f>
        <v>386442.1252</v>
      </c>
      <c r="AK358" s="196">
        <f>(AJ358*(1+(uk_lt_ir)))+AK357</f>
        <v>435497.7644</v>
      </c>
      <c r="AL358" s="196">
        <f>(AK358*(1+(uk_lt_ir)))+AL357</f>
        <v>486270.3511</v>
      </c>
      <c r="AM358" s="196">
        <f>(AL358*(1+(uk_lt_ir)))+AM357</f>
        <v>538819.9783</v>
      </c>
      <c r="AN358" s="196">
        <f>(AM358*(1+(uk_lt_ir)))+AN357</f>
        <v>658524.2375</v>
      </c>
      <c r="AO358" s="196">
        <f>(AN358*(1+(uk_lt_ir)))+AO357</f>
        <v>782418.1458</v>
      </c>
      <c r="AP358" s="196">
        <f>(AO358*(1+(uk_lt_ir)))+AP357</f>
        <v>910648.3409</v>
      </c>
      <c r="AQ358" s="196">
        <f>(AP358*(1+(uk_lt_ir)))+AQ357</f>
        <v>1043366.593</v>
      </c>
      <c r="AR358" s="196">
        <f>(AQ358*(1+(uk_lt_ir)))+AR357</f>
        <v>1180729.984</v>
      </c>
      <c r="AS358" s="196">
        <f>(AR358*(1+(uk_lt_ir)))+AS357</f>
        <v>1322901.093</v>
      </c>
      <c r="AT358" s="196">
        <f>(AS358*(1+(uk_lt_ir)))+AT357</f>
        <v>1470048.191</v>
      </c>
      <c r="AU358" s="196">
        <f>(AT358*(1+(uk_lt_ir)))+AU357</f>
        <v>1622345.438</v>
      </c>
      <c r="AV358" s="196">
        <f>(AU358*(1+(uk_lt_ir)))+AV357</f>
        <v>1779973.088</v>
      </c>
      <c r="AW358" s="196">
        <f>(AV358*(1+(uk_lt_ir)))+AW357</f>
        <v>1943117.706</v>
      </c>
      <c r="AX358" s="196">
        <f>(AW358*(1+(uk_lt_ir)))+AX357</f>
        <v>2111972.386</v>
      </c>
      <c r="AY358" s="196">
        <f>(AX358*(1+(uk_lt_ir)))+AY357</f>
        <v>2286736.98</v>
      </c>
      <c r="AZ358" s="196">
        <f>(AY358*(1+(uk_lt_ir)))+AZ357</f>
        <v>2467618.334</v>
      </c>
    </row>
    <row r="359">
      <c r="A359" s="168"/>
      <c r="B359" s="197" t="s">
        <v>429</v>
      </c>
      <c r="C359" s="168"/>
      <c r="D359" s="199">
        <f t="shared" ref="D359:AZ359" si="54">D358-sum($D357:D357)</f>
        <v>0</v>
      </c>
      <c r="E359" s="199">
        <f t="shared" si="54"/>
        <v>0</v>
      </c>
      <c r="F359" s="199">
        <f t="shared" si="54"/>
        <v>54.3761837</v>
      </c>
      <c r="G359" s="199">
        <f t="shared" si="54"/>
        <v>165.0317175</v>
      </c>
      <c r="H359" s="199">
        <f t="shared" si="54"/>
        <v>333.9363787</v>
      </c>
      <c r="I359" s="199">
        <f t="shared" si="54"/>
        <v>563.1288868</v>
      </c>
      <c r="J359" s="199">
        <f t="shared" si="54"/>
        <v>854.7193163</v>
      </c>
      <c r="K359" s="199">
        <f t="shared" si="54"/>
        <v>1210.891595</v>
      </c>
      <c r="L359" s="199">
        <f t="shared" si="54"/>
        <v>1633.906086</v>
      </c>
      <c r="M359" s="199">
        <f t="shared" si="54"/>
        <v>2126.102269</v>
      </c>
      <c r="N359" s="199">
        <f t="shared" si="54"/>
        <v>2689.901501</v>
      </c>
      <c r="O359" s="199">
        <f t="shared" si="54"/>
        <v>3327.809891</v>
      </c>
      <c r="P359" s="199">
        <f t="shared" si="54"/>
        <v>4042.421258</v>
      </c>
      <c r="Q359" s="199">
        <f t="shared" si="54"/>
        <v>4836.420206</v>
      </c>
      <c r="R359" s="199">
        <f t="shared" si="54"/>
        <v>5712.585301</v>
      </c>
      <c r="S359" s="199">
        <f t="shared" si="54"/>
        <v>6673.792359</v>
      </c>
      <c r="T359" s="199">
        <f t="shared" si="54"/>
        <v>7723.017847</v>
      </c>
      <c r="U359" s="199">
        <f t="shared" si="54"/>
        <v>8863.34241</v>
      </c>
      <c r="V359" s="199">
        <f t="shared" si="54"/>
        <v>10097.95452</v>
      </c>
      <c r="W359" s="199">
        <f t="shared" si="54"/>
        <v>11430.15423</v>
      </c>
      <c r="X359" s="199">
        <f t="shared" si="54"/>
        <v>12863.35712</v>
      </c>
      <c r="Y359" s="199">
        <f t="shared" si="54"/>
        <v>14401.09829</v>
      </c>
      <c r="Z359" s="199">
        <f t="shared" si="54"/>
        <v>16047.03659</v>
      </c>
      <c r="AA359" s="199">
        <f t="shared" si="54"/>
        <v>17804.95891</v>
      </c>
      <c r="AB359" s="199">
        <f t="shared" si="54"/>
        <v>19678.7847</v>
      </c>
      <c r="AC359" s="199">
        <f t="shared" si="54"/>
        <v>21672.57057</v>
      </c>
      <c r="AD359" s="199">
        <f t="shared" si="54"/>
        <v>24699.69472</v>
      </c>
      <c r="AE359" s="199">
        <f t="shared" si="54"/>
        <v>29076.32399</v>
      </c>
      <c r="AF359" s="199">
        <f t="shared" si="54"/>
        <v>34849.69105</v>
      </c>
      <c r="AG359" s="199">
        <f t="shared" si="54"/>
        <v>42068.68173</v>
      </c>
      <c r="AH359" s="199">
        <f t="shared" si="54"/>
        <v>50783.89285</v>
      </c>
      <c r="AI359" s="199">
        <f t="shared" si="54"/>
        <v>61047.69214</v>
      </c>
      <c r="AJ359" s="199">
        <f t="shared" si="54"/>
        <v>72914.28017</v>
      </c>
      <c r="AK359" s="199">
        <f t="shared" si="54"/>
        <v>86439.75455</v>
      </c>
      <c r="AL359" s="199">
        <f t="shared" si="54"/>
        <v>101682.1763</v>
      </c>
      <c r="AM359" s="199">
        <f t="shared" si="54"/>
        <v>118701.6386</v>
      </c>
      <c r="AN359" s="199">
        <f t="shared" si="54"/>
        <v>137560.3378</v>
      </c>
      <c r="AO359" s="199">
        <f t="shared" si="54"/>
        <v>160608.6861</v>
      </c>
      <c r="AP359" s="199">
        <f t="shared" si="54"/>
        <v>187993.3212</v>
      </c>
      <c r="AQ359" s="199">
        <f t="shared" si="54"/>
        <v>219866.0132</v>
      </c>
      <c r="AR359" s="199">
        <f t="shared" si="54"/>
        <v>256383.8439</v>
      </c>
      <c r="AS359" s="199">
        <f t="shared" si="54"/>
        <v>297709.3934</v>
      </c>
      <c r="AT359" s="199">
        <f t="shared" si="54"/>
        <v>344010.9316</v>
      </c>
      <c r="AU359" s="199">
        <f t="shared" si="54"/>
        <v>395462.6183</v>
      </c>
      <c r="AV359" s="199">
        <f t="shared" si="54"/>
        <v>452244.7086</v>
      </c>
      <c r="AW359" s="199">
        <f t="shared" si="54"/>
        <v>514543.7667</v>
      </c>
      <c r="AX359" s="199">
        <f t="shared" si="54"/>
        <v>582552.8864</v>
      </c>
      <c r="AY359" s="199">
        <f t="shared" si="54"/>
        <v>656471.92</v>
      </c>
      <c r="AZ359" s="199">
        <f t="shared" si="54"/>
        <v>736507.7142</v>
      </c>
    </row>
    <row r="360">
      <c r="A360" s="168"/>
      <c r="B360" s="168"/>
      <c r="C360" s="168"/>
      <c r="D360" s="209"/>
      <c r="E360" s="209"/>
      <c r="F360" s="209"/>
      <c r="G360" s="209"/>
      <c r="H360" s="209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  <c r="AC360" s="266"/>
      <c r="AD360" s="266"/>
      <c r="AE360" s="266"/>
      <c r="AF360" s="266"/>
      <c r="AG360" s="266"/>
      <c r="AH360" s="266"/>
      <c r="AI360" s="266"/>
      <c r="AJ360" s="266"/>
      <c r="AK360" s="266"/>
      <c r="AL360" s="266"/>
      <c r="AM360" s="266"/>
      <c r="AN360" s="266"/>
      <c r="AO360" s="266"/>
      <c r="AP360" s="266"/>
      <c r="AQ360" s="266"/>
      <c r="AR360" s="266"/>
      <c r="AS360" s="266"/>
      <c r="AT360" s="266"/>
      <c r="AU360" s="266"/>
      <c r="AV360" s="266"/>
      <c r="AW360" s="266"/>
      <c r="AX360" s="266"/>
      <c r="AY360" s="266"/>
      <c r="AZ360" s="266"/>
    </row>
    <row r="361">
      <c r="A361" s="168"/>
      <c r="B361" s="139" t="s">
        <v>309</v>
      </c>
      <c r="C361" s="168"/>
      <c r="D361" s="267" t="s">
        <v>344</v>
      </c>
      <c r="E361" s="21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  <c r="AB361" s="168"/>
      <c r="AC361" s="168"/>
      <c r="AD361" s="168"/>
      <c r="AE361" s="168"/>
      <c r="AF361" s="168"/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168"/>
      <c r="AT361" s="168"/>
      <c r="AU361" s="168"/>
      <c r="AV361" s="168"/>
      <c r="AW361" s="168"/>
      <c r="AX361" s="168"/>
      <c r="AY361" s="168"/>
      <c r="AZ361" s="168"/>
    </row>
    <row r="362">
      <c r="A362" s="168"/>
      <c r="B362" s="168"/>
      <c r="C362" s="168"/>
      <c r="D362" s="268" t="s">
        <v>345</v>
      </c>
      <c r="E362" s="269" t="s">
        <v>251</v>
      </c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  <c r="AB362" s="168"/>
      <c r="AC362" s="168"/>
      <c r="AD362" s="168"/>
      <c r="AE362" s="168"/>
      <c r="AF362" s="168"/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168"/>
      <c r="AT362" s="168"/>
      <c r="AU362" s="168"/>
      <c r="AV362" s="168"/>
      <c r="AW362" s="168"/>
      <c r="AX362" s="168"/>
      <c r="AY362" s="168"/>
      <c r="AZ362" s="168"/>
    </row>
    <row r="363">
      <c r="A363" s="168"/>
      <c r="B363" s="175" t="str">
        <f>"1 year ("&amp;(Year(today())+1)&amp;")"</f>
        <v>1 year (2026)</v>
      </c>
      <c r="C363" s="168"/>
      <c r="D363" s="219">
        <f>E359</f>
        <v>0</v>
      </c>
      <c r="E363" s="217" t="str">
        <f t="shared" ref="E363:E366" si="55">D363/$H$65</f>
        <v>#DIV/0!</v>
      </c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  <c r="AB363" s="168"/>
      <c r="AC363" s="168"/>
      <c r="AD363" s="168"/>
      <c r="AE363" s="168"/>
      <c r="AF363" s="168"/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168"/>
      <c r="AT363" s="168"/>
      <c r="AU363" s="168"/>
      <c r="AV363" s="168"/>
      <c r="AW363" s="168"/>
      <c r="AX363" s="168"/>
      <c r="AY363" s="168"/>
      <c r="AZ363" s="168"/>
    </row>
    <row r="364">
      <c r="A364" s="168"/>
      <c r="B364" s="175" t="str">
        <f>"5 years ("&amp;(Year(today())+5)&amp;")"</f>
        <v>5 years (2030)</v>
      </c>
      <c r="C364" s="168"/>
      <c r="D364" s="219">
        <f>I359</f>
        <v>563.1288868</v>
      </c>
      <c r="E364" s="217" t="str">
        <f t="shared" si="55"/>
        <v>#DIV/0!</v>
      </c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  <c r="AB364" s="168"/>
      <c r="AC364" s="168"/>
      <c r="AD364" s="168"/>
      <c r="AE364" s="168"/>
      <c r="AF364" s="168"/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168"/>
      <c r="AT364" s="168"/>
      <c r="AU364" s="168"/>
      <c r="AV364" s="168"/>
      <c r="AW364" s="168"/>
      <c r="AX364" s="168"/>
      <c r="AY364" s="168"/>
      <c r="AZ364" s="168"/>
    </row>
    <row r="365">
      <c r="A365" s="168"/>
      <c r="B365" s="175" t="str">
        <f>"10 years ("&amp;(Year(today())+10)&amp;")"</f>
        <v>10 years (2035)</v>
      </c>
      <c r="C365" s="168"/>
      <c r="D365" s="219">
        <f>N359</f>
        <v>2689.901501</v>
      </c>
      <c r="E365" s="217" t="str">
        <f t="shared" si="55"/>
        <v>#DIV/0!</v>
      </c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  <c r="AB365" s="168"/>
      <c r="AC365" s="168"/>
      <c r="AD365" s="168"/>
      <c r="AE365" s="168"/>
      <c r="AF365" s="168"/>
      <c r="AG365" s="168"/>
      <c r="AH365" s="168"/>
      <c r="AI365" s="168"/>
      <c r="AJ365" s="168"/>
      <c r="AK365" s="168"/>
      <c r="AL365" s="168"/>
      <c r="AM365" s="168"/>
      <c r="AN365" s="168"/>
      <c r="AO365" s="168"/>
      <c r="AP365" s="168"/>
      <c r="AQ365" s="168"/>
      <c r="AR365" s="168"/>
      <c r="AS365" s="168"/>
      <c r="AT365" s="168"/>
      <c r="AU365" s="168"/>
      <c r="AV365" s="168"/>
      <c r="AW365" s="168"/>
      <c r="AX365" s="168"/>
      <c r="AY365" s="168"/>
      <c r="AZ365" s="168"/>
    </row>
    <row r="366">
      <c r="A366" s="168"/>
      <c r="B366" s="175" t="str">
        <f>"20 years ("&amp;(Year(today())+20)&amp;")"</f>
        <v>20 years (2045)</v>
      </c>
      <c r="C366" s="168"/>
      <c r="D366" s="219">
        <f>X359</f>
        <v>12863.35712</v>
      </c>
      <c r="E366" s="217" t="str">
        <f t="shared" si="55"/>
        <v>#DIV/0!</v>
      </c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  <c r="AB366" s="168"/>
      <c r="AC366" s="168"/>
      <c r="AD366" s="168"/>
      <c r="AE366" s="168"/>
      <c r="AF366" s="168"/>
      <c r="AG366" s="168"/>
      <c r="AH366" s="168"/>
      <c r="AI366" s="168"/>
      <c r="AJ366" s="168"/>
      <c r="AK366" s="168"/>
      <c r="AL366" s="168"/>
      <c r="AM366" s="168"/>
      <c r="AN366" s="168"/>
      <c r="AO366" s="168"/>
      <c r="AP366" s="168"/>
      <c r="AQ366" s="168"/>
      <c r="AR366" s="168"/>
      <c r="AS366" s="168"/>
      <c r="AT366" s="168"/>
      <c r="AU366" s="168"/>
      <c r="AV366" s="168"/>
      <c r="AW366" s="168"/>
      <c r="AX366" s="168"/>
      <c r="AY366" s="168"/>
      <c r="AZ366" s="168"/>
    </row>
    <row r="367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  <c r="AB367" s="168"/>
      <c r="AC367" s="168"/>
      <c r="AD367" s="168"/>
      <c r="AE367" s="168"/>
      <c r="AF367" s="168"/>
      <c r="AG367" s="168"/>
      <c r="AH367" s="168"/>
      <c r="AI367" s="168"/>
      <c r="AJ367" s="168"/>
      <c r="AK367" s="168"/>
      <c r="AL367" s="168"/>
      <c r="AM367" s="168"/>
      <c r="AN367" s="168"/>
      <c r="AO367" s="168"/>
      <c r="AP367" s="168"/>
      <c r="AQ367" s="168"/>
      <c r="AR367" s="168"/>
      <c r="AS367" s="168"/>
      <c r="AT367" s="168"/>
      <c r="AU367" s="168"/>
      <c r="AV367" s="168"/>
      <c r="AW367" s="168"/>
      <c r="AX367" s="168"/>
      <c r="AY367" s="168"/>
      <c r="AZ367" s="168"/>
    </row>
    <row r="36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  <c r="AB368" s="168"/>
      <c r="AC368" s="168"/>
      <c r="AD368" s="168"/>
      <c r="AE368" s="168"/>
      <c r="AF368" s="168"/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168"/>
      <c r="AT368" s="168"/>
      <c r="AU368" s="168"/>
      <c r="AV368" s="168"/>
      <c r="AW368" s="168"/>
      <c r="AX368" s="168"/>
      <c r="AY368" s="168"/>
      <c r="AZ368" s="168"/>
    </row>
    <row r="369">
      <c r="A369" s="252" t="s">
        <v>430</v>
      </c>
      <c r="B369" s="252" t="s">
        <v>431</v>
      </c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  <c r="AB369" s="168"/>
      <c r="AC369" s="168"/>
      <c r="AD369" s="168"/>
      <c r="AE369" s="168"/>
      <c r="AF369" s="168"/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168"/>
      <c r="AT369" s="168"/>
      <c r="AU369" s="168"/>
      <c r="AV369" s="168"/>
      <c r="AW369" s="168"/>
      <c r="AX369" s="168"/>
      <c r="AY369" s="168"/>
      <c r="AZ369" s="168"/>
    </row>
    <row r="370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  <c r="AB370" s="168"/>
      <c r="AC370" s="168"/>
      <c r="AD370" s="168"/>
      <c r="AE370" s="168"/>
      <c r="AF370" s="168"/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168"/>
      <c r="AT370" s="168"/>
      <c r="AU370" s="168"/>
      <c r="AV370" s="168"/>
      <c r="AW370" s="168"/>
      <c r="AX370" s="168"/>
      <c r="AY370" s="168"/>
      <c r="AZ370" s="168"/>
    </row>
    <row r="37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  <c r="AB371" s="168"/>
      <c r="AC371" s="168"/>
      <c r="AD371" s="168"/>
      <c r="AE371" s="168"/>
      <c r="AF371" s="168"/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168"/>
      <c r="AT371" s="168"/>
      <c r="AU371" s="168"/>
      <c r="AV371" s="168"/>
      <c r="AW371" s="168"/>
      <c r="AX371" s="168"/>
      <c r="AY371" s="168"/>
      <c r="AZ371" s="168"/>
    </row>
    <row r="372">
      <c r="A372" s="168"/>
      <c r="B372" s="139" t="s">
        <v>280</v>
      </c>
      <c r="C372" s="224" t="s">
        <v>432</v>
      </c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  <c r="AB372" s="168"/>
      <c r="AC372" s="168"/>
      <c r="AD372" s="168"/>
      <c r="AE372" s="168"/>
      <c r="AF372" s="168"/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168"/>
      <c r="AT372" s="168"/>
      <c r="AU372" s="168"/>
      <c r="AV372" s="168"/>
      <c r="AW372" s="168"/>
      <c r="AX372" s="168"/>
      <c r="AY372" s="168"/>
      <c r="AZ372" s="168"/>
    </row>
    <row r="373">
      <c r="A373" s="168"/>
      <c r="B373" s="168"/>
      <c r="C373" s="170" t="s">
        <v>433</v>
      </c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  <c r="AB373" s="168"/>
      <c r="AC373" s="168"/>
      <c r="AD373" s="168"/>
      <c r="AE373" s="168"/>
      <c r="AF373" s="168"/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168"/>
      <c r="AT373" s="168"/>
      <c r="AU373" s="168"/>
      <c r="AV373" s="168"/>
      <c r="AW373" s="168"/>
      <c r="AX373" s="168"/>
      <c r="AY373" s="168"/>
      <c r="AZ373" s="168"/>
    </row>
    <row r="374">
      <c r="A374" s="168"/>
      <c r="B374" s="168"/>
      <c r="C374" s="170" t="s">
        <v>434</v>
      </c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  <c r="AB374" s="168"/>
      <c r="AC374" s="168"/>
      <c r="AD374" s="168"/>
      <c r="AE374" s="168"/>
      <c r="AF374" s="168"/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168"/>
      <c r="AT374" s="168"/>
      <c r="AU374" s="168"/>
      <c r="AV374" s="168"/>
      <c r="AW374" s="168"/>
      <c r="AX374" s="168"/>
      <c r="AY374" s="168"/>
      <c r="AZ374" s="168"/>
    </row>
    <row r="375">
      <c r="A375" s="168"/>
      <c r="B375" s="168"/>
      <c r="C375" s="170" t="s">
        <v>435</v>
      </c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  <c r="AB375" s="168"/>
      <c r="AC375" s="168"/>
      <c r="AD375" s="168"/>
      <c r="AE375" s="168"/>
      <c r="AF375" s="168"/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168"/>
      <c r="AT375" s="168"/>
      <c r="AU375" s="168"/>
      <c r="AV375" s="168"/>
      <c r="AW375" s="168"/>
      <c r="AX375" s="168"/>
      <c r="AY375" s="168"/>
      <c r="AZ375" s="168"/>
    </row>
    <row r="376">
      <c r="A376" s="168"/>
      <c r="B376" s="168"/>
      <c r="C376" s="170" t="s">
        <v>436</v>
      </c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  <c r="AB376" s="168"/>
      <c r="AC376" s="168"/>
      <c r="AD376" s="168"/>
      <c r="AE376" s="168"/>
      <c r="AF376" s="168"/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168"/>
      <c r="AT376" s="168"/>
      <c r="AU376" s="168"/>
      <c r="AV376" s="168"/>
      <c r="AW376" s="168"/>
      <c r="AX376" s="168"/>
      <c r="AY376" s="168"/>
      <c r="AZ376" s="168"/>
    </row>
    <row r="377">
      <c r="A377" s="168"/>
      <c r="B377" s="168"/>
      <c r="C377" s="170" t="s">
        <v>437</v>
      </c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  <c r="AB377" s="168"/>
      <c r="AC377" s="168"/>
      <c r="AD377" s="168"/>
      <c r="AE377" s="168"/>
      <c r="AF377" s="168"/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168"/>
      <c r="AT377" s="168"/>
      <c r="AU377" s="168"/>
      <c r="AV377" s="168"/>
      <c r="AW377" s="168"/>
      <c r="AX377" s="168"/>
      <c r="AY377" s="168"/>
      <c r="AZ377" s="168"/>
    </row>
    <row r="378">
      <c r="A378" s="168"/>
      <c r="B378" s="168"/>
      <c r="C378" s="170" t="s">
        <v>438</v>
      </c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  <c r="AB378" s="168"/>
      <c r="AC378" s="168"/>
      <c r="AD378" s="168"/>
      <c r="AE378" s="168"/>
      <c r="AF378" s="168"/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168"/>
      <c r="AT378" s="168"/>
      <c r="AU378" s="168"/>
      <c r="AV378" s="168"/>
      <c r="AW378" s="168"/>
      <c r="AX378" s="168"/>
      <c r="AY378" s="168"/>
      <c r="AZ378" s="168"/>
    </row>
    <row r="379">
      <c r="A379" s="168"/>
      <c r="B379" s="168"/>
      <c r="C379" s="170" t="str">
        <f>"No further contributions after age 50"&amp;" ("&amp;((50+'Input Data'!B2)&amp;") as per previous assumption")</f>
        <v>No further contributions after age 50 (2041) as per previous assumption</v>
      </c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  <c r="AB379" s="168"/>
      <c r="AC379" s="168"/>
      <c r="AD379" s="168"/>
      <c r="AE379" s="168"/>
      <c r="AF379" s="168"/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168"/>
      <c r="AT379" s="168"/>
      <c r="AU379" s="168"/>
      <c r="AV379" s="168"/>
      <c r="AW379" s="168"/>
      <c r="AX379" s="168"/>
      <c r="AY379" s="168"/>
      <c r="AZ379" s="168"/>
    </row>
    <row r="380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  <c r="AB380" s="168"/>
      <c r="AC380" s="168"/>
      <c r="AD380" s="168"/>
      <c r="AE380" s="168"/>
      <c r="AF380" s="168"/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168"/>
      <c r="AT380" s="168"/>
      <c r="AU380" s="168"/>
      <c r="AV380" s="168"/>
      <c r="AW380" s="168"/>
      <c r="AX380" s="168"/>
      <c r="AY380" s="168"/>
      <c r="AZ380" s="168"/>
    </row>
    <row r="381">
      <c r="A381" s="168"/>
      <c r="B381" s="259" t="s">
        <v>314</v>
      </c>
      <c r="C381" s="173" t="s">
        <v>439</v>
      </c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  <c r="AB381" s="168"/>
      <c r="AC381" s="168"/>
      <c r="AD381" s="168"/>
      <c r="AE381" s="168"/>
      <c r="AF381" s="168"/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168"/>
      <c r="AT381" s="168"/>
      <c r="AU381" s="168"/>
      <c r="AV381" s="168"/>
      <c r="AW381" s="168"/>
      <c r="AX381" s="168"/>
      <c r="AY381" s="168"/>
      <c r="AZ381" s="168"/>
    </row>
    <row r="382">
      <c r="A382" s="168"/>
      <c r="B382" s="259" t="s">
        <v>316</v>
      </c>
      <c r="C382" s="173" t="s">
        <v>319</v>
      </c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  <c r="AB382" s="168"/>
      <c r="AC382" s="168"/>
      <c r="AD382" s="168"/>
      <c r="AE382" s="168"/>
      <c r="AF382" s="168"/>
      <c r="AG382" s="168"/>
      <c r="AH382" s="168"/>
      <c r="AI382" s="168"/>
      <c r="AJ382" s="168"/>
      <c r="AK382" s="168"/>
      <c r="AL382" s="168"/>
      <c r="AM382" s="168"/>
      <c r="AN382" s="168"/>
      <c r="AO382" s="168"/>
      <c r="AP382" s="168"/>
      <c r="AQ382" s="168"/>
      <c r="AR382" s="168"/>
      <c r="AS382" s="168"/>
      <c r="AT382" s="168"/>
      <c r="AU382" s="168"/>
      <c r="AV382" s="168"/>
      <c r="AW382" s="168"/>
      <c r="AX382" s="168"/>
      <c r="AY382" s="168"/>
      <c r="AZ382" s="168"/>
    </row>
    <row r="383">
      <c r="A383" s="168"/>
      <c r="B383" s="259" t="s">
        <v>318</v>
      </c>
      <c r="C383" s="173" t="s">
        <v>319</v>
      </c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  <c r="AB383" s="168"/>
      <c r="AC383" s="168"/>
      <c r="AD383" s="168"/>
      <c r="AE383" s="168"/>
      <c r="AF383" s="168"/>
      <c r="AG383" s="168"/>
      <c r="AH383" s="168"/>
      <c r="AI383" s="168"/>
      <c r="AJ383" s="168"/>
      <c r="AK383" s="168"/>
      <c r="AL383" s="168"/>
      <c r="AM383" s="168"/>
      <c r="AN383" s="168"/>
      <c r="AO383" s="168"/>
      <c r="AP383" s="168"/>
      <c r="AQ383" s="168"/>
      <c r="AR383" s="168"/>
      <c r="AS383" s="168"/>
      <c r="AT383" s="168"/>
      <c r="AU383" s="168"/>
      <c r="AV383" s="168"/>
      <c r="AW383" s="168"/>
      <c r="AX383" s="168"/>
      <c r="AY383" s="168"/>
      <c r="AZ383" s="168"/>
    </row>
    <row r="384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  <c r="AB384" s="168"/>
      <c r="AC384" s="168"/>
      <c r="AD384" s="168"/>
      <c r="AE384" s="168"/>
      <c r="AF384" s="168"/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168"/>
      <c r="AT384" s="168"/>
      <c r="AU384" s="168"/>
      <c r="AV384" s="168"/>
      <c r="AW384" s="168"/>
      <c r="AX384" s="168"/>
      <c r="AY384" s="168"/>
      <c r="AZ384" s="168"/>
    </row>
    <row r="385">
      <c r="A385" s="168"/>
      <c r="B385" s="260" t="s">
        <v>203</v>
      </c>
      <c r="C385" s="260" t="s">
        <v>440</v>
      </c>
      <c r="D385" s="260" t="s">
        <v>247</v>
      </c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  <c r="AB385" s="168"/>
      <c r="AC385" s="168"/>
      <c r="AD385" s="168"/>
      <c r="AE385" s="168"/>
      <c r="AF385" s="168"/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168"/>
      <c r="AT385" s="168"/>
      <c r="AU385" s="168"/>
      <c r="AV385" s="168"/>
      <c r="AW385" s="168"/>
      <c r="AX385" s="168"/>
      <c r="AY385" s="168"/>
      <c r="AZ385" s="168"/>
    </row>
    <row r="386">
      <c r="A386" s="168"/>
      <c r="B386" s="187" t="s">
        <v>254</v>
      </c>
      <c r="C386" s="279">
        <v>0.08</v>
      </c>
      <c r="D386" s="280" t="s">
        <v>255</v>
      </c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  <c r="AB386" s="168"/>
      <c r="AC386" s="168"/>
      <c r="AD386" s="168"/>
      <c r="AE386" s="168"/>
      <c r="AF386" s="168"/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168"/>
      <c r="AT386" s="168"/>
      <c r="AU386" s="168"/>
      <c r="AV386" s="168"/>
      <c r="AW386" s="168"/>
      <c r="AX386" s="168"/>
      <c r="AY386" s="168"/>
      <c r="AZ386" s="168"/>
    </row>
    <row r="387">
      <c r="A387" s="168"/>
      <c r="B387" s="187" t="s">
        <v>256</v>
      </c>
      <c r="C387" s="281">
        <f>12.21*52*5*8</f>
        <v>25396.8</v>
      </c>
      <c r="D387" s="280" t="s">
        <v>257</v>
      </c>
      <c r="E387" s="168"/>
      <c r="F387" s="174" t="s">
        <v>441</v>
      </c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  <c r="AB387" s="168"/>
      <c r="AC387" s="168"/>
      <c r="AD387" s="168"/>
      <c r="AE387" s="168"/>
      <c r="AF387" s="168"/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168"/>
      <c r="AT387" s="168"/>
      <c r="AU387" s="168"/>
      <c r="AV387" s="168"/>
      <c r="AW387" s="168"/>
      <c r="AX387" s="168"/>
      <c r="AY387" s="168"/>
      <c r="AZ387" s="168"/>
    </row>
    <row r="388">
      <c r="A388" s="168"/>
      <c r="B388" s="187" t="s">
        <v>258</v>
      </c>
      <c r="C388" s="279">
        <v>0.25</v>
      </c>
      <c r="D388" s="202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  <c r="AB388" s="168"/>
      <c r="AC388" s="168"/>
      <c r="AD388" s="168"/>
      <c r="AE388" s="168"/>
      <c r="AF388" s="168"/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168"/>
      <c r="AT388" s="168"/>
      <c r="AU388" s="168"/>
      <c r="AV388" s="168"/>
      <c r="AW388" s="168"/>
      <c r="AX388" s="168"/>
      <c r="AY388" s="168"/>
      <c r="AZ388" s="168"/>
    </row>
    <row r="389">
      <c r="A389" s="168"/>
      <c r="B389" s="187" t="s">
        <v>442</v>
      </c>
      <c r="C389" s="282">
        <v>70.0</v>
      </c>
      <c r="D389" s="173" t="str">
        <f>"I.e. year "&amp;(C389+'Input Data'!B2)</f>
        <v>I.e. year 2061</v>
      </c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  <c r="AB389" s="168"/>
      <c r="AC389" s="168"/>
      <c r="AD389" s="168"/>
      <c r="AE389" s="168"/>
      <c r="AF389" s="168"/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168"/>
      <c r="AT389" s="168"/>
      <c r="AU389" s="168"/>
      <c r="AV389" s="168"/>
      <c r="AW389" s="168"/>
      <c r="AX389" s="168"/>
      <c r="AY389" s="168"/>
      <c r="AZ389" s="168"/>
    </row>
    <row r="390">
      <c r="A390" s="168"/>
      <c r="B390" s="187" t="s">
        <v>443</v>
      </c>
      <c r="C390" s="281">
        <v>150000.0</v>
      </c>
      <c r="D390" s="173" t="s">
        <v>444</v>
      </c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  <c r="AB390" s="168"/>
      <c r="AC390" s="168"/>
      <c r="AD390" s="168"/>
      <c r="AE390" s="168"/>
      <c r="AF390" s="168"/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168"/>
      <c r="AT390" s="168"/>
      <c r="AU390" s="168"/>
      <c r="AV390" s="168"/>
      <c r="AW390" s="168"/>
      <c r="AX390" s="168"/>
      <c r="AY390" s="168"/>
      <c r="AZ390" s="168"/>
    </row>
    <row r="391">
      <c r="A391" s="168"/>
      <c r="B391" s="187" t="s">
        <v>445</v>
      </c>
      <c r="C391" s="279">
        <f>IF(pens_ann_inc_gro&lt;=pa_tax_ub, pa_tax_pct, 
 IF(pens_ann_inc_gro&lt;=br_tax_ub, ((pens_ann_inc_gro-pa_tax_ub)*br_tax_pct)/pens_ann_inc_gro,
 IF(pens_ann_inc_gro&lt;=hr_tax_ub, (((br_tax_ub-pa_tax_ub)*br_tax_pct + (pens_ann_inc_gro-br_tax_ub)*hr_tax_pct))/pens_ann_inc_gro,
 (((br_tax_ub-pa_tax_ub)*br_tax_pct + (hr_tax_ub-br_tax_ub)*hr_tax_pct + (pens_ann_inc_gro-hr_tax_ub)*ar_tax_pct))/pens_ann_inc_gro)))</f>
        <v>0.32426</v>
      </c>
      <c r="D391" s="173" t="s">
        <v>446</v>
      </c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  <c r="AB391" s="168"/>
      <c r="AC391" s="168"/>
      <c r="AD391" s="168"/>
      <c r="AE391" s="168"/>
      <c r="AF391" s="168"/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168"/>
      <c r="AT391" s="168"/>
      <c r="AU391" s="168"/>
      <c r="AV391" s="168"/>
      <c r="AW391" s="168"/>
      <c r="AX391" s="168"/>
      <c r="AY391" s="168"/>
      <c r="AZ391" s="168"/>
    </row>
    <row r="392">
      <c r="A392" s="168"/>
      <c r="B392" s="187" t="s">
        <v>447</v>
      </c>
      <c r="C392" s="281">
        <f>C390*(1-C391)</f>
        <v>101361</v>
      </c>
      <c r="D392" s="173" t="s">
        <v>448</v>
      </c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  <c r="AB392" s="168"/>
      <c r="AC392" s="168"/>
      <c r="AD392" s="168"/>
      <c r="AE392" s="168"/>
      <c r="AF392" s="168"/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168"/>
      <c r="AT392" s="168"/>
      <c r="AU392" s="168"/>
      <c r="AV392" s="168"/>
      <c r="AW392" s="168"/>
      <c r="AX392" s="168"/>
      <c r="AY392" s="168"/>
      <c r="AZ392" s="168"/>
    </row>
    <row r="393">
      <c r="A393" s="168"/>
      <c r="B393" s="187" t="s">
        <v>449</v>
      </c>
      <c r="C393" s="281">
        <v>268275.0</v>
      </c>
      <c r="D393" s="280" t="s">
        <v>450</v>
      </c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  <c r="AB393" s="168"/>
      <c r="AC393" s="168"/>
      <c r="AD393" s="168"/>
      <c r="AE393" s="168"/>
      <c r="AF393" s="168"/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168"/>
      <c r="AT393" s="168"/>
      <c r="AU393" s="168"/>
      <c r="AV393" s="168"/>
      <c r="AW393" s="168"/>
      <c r="AX393" s="168"/>
      <c r="AY393" s="168"/>
      <c r="AZ393" s="168"/>
    </row>
    <row r="394">
      <c r="A394" s="168"/>
      <c r="B394" s="187" t="s">
        <v>451</v>
      </c>
      <c r="C394" s="281">
        <f>'Input Data'!L39</f>
        <v>0</v>
      </c>
      <c r="D394" s="280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  <c r="AB394" s="168"/>
      <c r="AC394" s="168"/>
      <c r="AD394" s="168"/>
      <c r="AE394" s="168"/>
      <c r="AF394" s="168"/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168"/>
      <c r="AT394" s="168"/>
      <c r="AU394" s="168"/>
      <c r="AV394" s="168"/>
      <c r="AW394" s="168"/>
      <c r="AX394" s="168"/>
      <c r="AY394" s="168"/>
      <c r="AZ394" s="168"/>
    </row>
    <row r="395">
      <c r="A395" s="168"/>
      <c r="B395" s="168"/>
      <c r="C395" s="192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  <c r="AB395" s="168"/>
      <c r="AC395" s="168"/>
      <c r="AD395" s="168"/>
      <c r="AE395" s="168"/>
      <c r="AF395" s="168"/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168"/>
      <c r="AT395" s="168"/>
      <c r="AU395" s="168"/>
      <c r="AV395" s="168"/>
      <c r="AW395" s="168"/>
      <c r="AX395" s="168"/>
      <c r="AY395" s="168"/>
      <c r="AZ395" s="168"/>
    </row>
    <row r="396">
      <c r="A396" s="168"/>
      <c r="B396" s="168"/>
      <c r="C396" s="192"/>
      <c r="D396" s="168"/>
      <c r="E396" s="174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  <c r="AB396" s="168"/>
      <c r="AC396" s="168"/>
      <c r="AD396" s="168"/>
      <c r="AE396" s="168"/>
      <c r="AF396" s="168"/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168"/>
      <c r="AT396" s="168"/>
      <c r="AU396" s="168"/>
      <c r="AV396" s="168"/>
      <c r="AW396" s="168"/>
      <c r="AX396" s="168"/>
      <c r="AY396" s="168"/>
      <c r="AZ396" s="168"/>
    </row>
    <row r="397">
      <c r="A397" s="168"/>
      <c r="B397" s="126" t="s">
        <v>340</v>
      </c>
      <c r="C397" s="192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  <c r="AB397" s="168"/>
      <c r="AC397" s="168"/>
      <c r="AD397" s="168"/>
      <c r="AE397" s="168"/>
      <c r="AF397" s="168"/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168"/>
      <c r="AT397" s="168"/>
      <c r="AU397" s="168"/>
      <c r="AV397" s="168"/>
      <c r="AW397" s="168"/>
      <c r="AX397" s="168"/>
      <c r="AY397" s="168"/>
      <c r="AZ397" s="168"/>
    </row>
    <row r="39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  <c r="AB398" s="168"/>
      <c r="AC398" s="168"/>
      <c r="AD398" s="168"/>
      <c r="AE398" s="168"/>
      <c r="AF398" s="168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168"/>
      <c r="AT398" s="168"/>
      <c r="AU398" s="168"/>
      <c r="AV398" s="168"/>
      <c r="AW398" s="168"/>
      <c r="AX398" s="168"/>
      <c r="AY398" s="168"/>
      <c r="AZ398" s="168"/>
    </row>
    <row r="399">
      <c r="A399" s="168"/>
      <c r="B399" s="168"/>
      <c r="C399" s="192"/>
      <c r="D399" s="85" t="s">
        <v>285</v>
      </c>
      <c r="E399" s="193">
        <v>46143.0</v>
      </c>
      <c r="F399" s="193">
        <v>46508.0</v>
      </c>
      <c r="G399" s="193">
        <v>46874.0</v>
      </c>
      <c r="H399" s="193">
        <v>47239.0</v>
      </c>
      <c r="I399" s="193">
        <v>47604.0</v>
      </c>
      <c r="J399" s="193">
        <v>47969.0</v>
      </c>
      <c r="K399" s="193">
        <v>48335.0</v>
      </c>
      <c r="L399" s="193">
        <v>48700.0</v>
      </c>
      <c r="M399" s="193">
        <v>49065.0</v>
      </c>
      <c r="N399" s="193">
        <v>49430.0</v>
      </c>
      <c r="O399" s="193">
        <v>49796.0</v>
      </c>
      <c r="P399" s="193">
        <v>50161.0</v>
      </c>
      <c r="Q399" s="193">
        <v>50526.0</v>
      </c>
      <c r="R399" s="193">
        <v>50891.0</v>
      </c>
      <c r="S399" s="193">
        <v>51257.0</v>
      </c>
      <c r="T399" s="193">
        <v>51622.0</v>
      </c>
      <c r="U399" s="193">
        <v>51987.0</v>
      </c>
      <c r="V399" s="193">
        <v>52352.0</v>
      </c>
      <c r="W399" s="193">
        <v>52718.0</v>
      </c>
      <c r="X399" s="193">
        <v>53083.0</v>
      </c>
      <c r="Y399" s="193">
        <v>53448.0</v>
      </c>
      <c r="Z399" s="193">
        <v>53813.0</v>
      </c>
      <c r="AA399" s="193">
        <v>54179.0</v>
      </c>
      <c r="AB399" s="193">
        <v>54544.0</v>
      </c>
      <c r="AC399" s="193">
        <v>54909.0</v>
      </c>
      <c r="AD399" s="193">
        <v>55274.0</v>
      </c>
      <c r="AE399" s="193">
        <v>55640.0</v>
      </c>
      <c r="AF399" s="193">
        <v>56005.0</v>
      </c>
      <c r="AG399" s="193">
        <v>56370.0</v>
      </c>
      <c r="AH399" s="193">
        <v>56735.0</v>
      </c>
      <c r="AI399" s="193">
        <v>57101.0</v>
      </c>
      <c r="AJ399" s="193">
        <v>57466.0</v>
      </c>
      <c r="AK399" s="193">
        <v>57831.0</v>
      </c>
      <c r="AL399" s="193">
        <v>58196.0</v>
      </c>
      <c r="AM399" s="193">
        <v>58562.0</v>
      </c>
      <c r="AN399" s="193">
        <v>58927.0</v>
      </c>
      <c r="AO399" s="193">
        <v>59292.0</v>
      </c>
      <c r="AP399" s="193">
        <v>59657.0</v>
      </c>
      <c r="AQ399" s="193">
        <v>60023.0</v>
      </c>
      <c r="AR399" s="193">
        <v>60388.0</v>
      </c>
      <c r="AS399" s="193">
        <v>60753.0</v>
      </c>
      <c r="AT399" s="193">
        <v>61118.0</v>
      </c>
      <c r="AU399" s="193">
        <v>61484.0</v>
      </c>
      <c r="AV399" s="193">
        <v>61849.0</v>
      </c>
      <c r="AW399" s="193">
        <v>62214.0</v>
      </c>
      <c r="AX399" s="193">
        <v>62579.0</v>
      </c>
      <c r="AY399" s="193">
        <v>62945.0</v>
      </c>
      <c r="AZ399" s="193">
        <v>63310.0</v>
      </c>
    </row>
    <row r="400">
      <c r="A400" s="168"/>
      <c r="B400" s="197" t="s">
        <v>452</v>
      </c>
      <c r="C400" s="192"/>
      <c r="D400" s="202"/>
      <c r="E400" s="196">
        <f t="shared" ref="E400:AZ400" si="56">if(Right(E399,4)&lt;=MID($C$379,40,4), if(min(E14-$C$387+E229+E149,60000)&gt;0,min(E14-$C$387+E229+E149,60000),0),0)</f>
        <v>0</v>
      </c>
      <c r="F400" s="196">
        <f t="shared" si="56"/>
        <v>0</v>
      </c>
      <c r="G400" s="196">
        <f t="shared" si="56"/>
        <v>0</v>
      </c>
      <c r="H400" s="196">
        <f t="shared" si="56"/>
        <v>0</v>
      </c>
      <c r="I400" s="196">
        <f t="shared" si="56"/>
        <v>0</v>
      </c>
      <c r="J400" s="196">
        <f t="shared" si="56"/>
        <v>0</v>
      </c>
      <c r="K400" s="196">
        <f t="shared" si="56"/>
        <v>0</v>
      </c>
      <c r="L400" s="196">
        <f t="shared" si="56"/>
        <v>0</v>
      </c>
      <c r="M400" s="196">
        <f t="shared" si="56"/>
        <v>0</v>
      </c>
      <c r="N400" s="196">
        <f t="shared" si="56"/>
        <v>0</v>
      </c>
      <c r="O400" s="196">
        <f t="shared" si="56"/>
        <v>0</v>
      </c>
      <c r="P400" s="196">
        <f t="shared" si="56"/>
        <v>0</v>
      </c>
      <c r="Q400" s="196">
        <f t="shared" si="56"/>
        <v>0</v>
      </c>
      <c r="R400" s="196">
        <f t="shared" si="56"/>
        <v>0</v>
      </c>
      <c r="S400" s="196">
        <f t="shared" si="56"/>
        <v>0</v>
      </c>
      <c r="T400" s="196">
        <f t="shared" si="56"/>
        <v>0</v>
      </c>
      <c r="U400" s="196">
        <f t="shared" si="56"/>
        <v>0</v>
      </c>
      <c r="V400" s="196">
        <f t="shared" si="56"/>
        <v>0</v>
      </c>
      <c r="W400" s="196">
        <f t="shared" si="56"/>
        <v>0</v>
      </c>
      <c r="X400" s="196">
        <f t="shared" si="56"/>
        <v>0</v>
      </c>
      <c r="Y400" s="196">
        <f t="shared" si="56"/>
        <v>0</v>
      </c>
      <c r="Z400" s="196">
        <f t="shared" si="56"/>
        <v>0</v>
      </c>
      <c r="AA400" s="196">
        <f t="shared" si="56"/>
        <v>0</v>
      </c>
      <c r="AB400" s="196">
        <f t="shared" si="56"/>
        <v>0</v>
      </c>
      <c r="AC400" s="196">
        <f t="shared" si="56"/>
        <v>0</v>
      </c>
      <c r="AD400" s="196">
        <f t="shared" si="56"/>
        <v>0</v>
      </c>
      <c r="AE400" s="196">
        <f t="shared" si="56"/>
        <v>0</v>
      </c>
      <c r="AF400" s="196">
        <f t="shared" si="56"/>
        <v>0</v>
      </c>
      <c r="AG400" s="196">
        <f t="shared" si="56"/>
        <v>0</v>
      </c>
      <c r="AH400" s="196">
        <f t="shared" si="56"/>
        <v>0</v>
      </c>
      <c r="AI400" s="196">
        <f t="shared" si="56"/>
        <v>0</v>
      </c>
      <c r="AJ400" s="196">
        <f t="shared" si="56"/>
        <v>0</v>
      </c>
      <c r="AK400" s="196">
        <f t="shared" si="56"/>
        <v>0</v>
      </c>
      <c r="AL400" s="196">
        <f t="shared" si="56"/>
        <v>0</v>
      </c>
      <c r="AM400" s="196">
        <f t="shared" si="56"/>
        <v>0</v>
      </c>
      <c r="AN400" s="196">
        <f t="shared" si="56"/>
        <v>0</v>
      </c>
      <c r="AO400" s="196">
        <f t="shared" si="56"/>
        <v>0</v>
      </c>
      <c r="AP400" s="196">
        <f t="shared" si="56"/>
        <v>0</v>
      </c>
      <c r="AQ400" s="196">
        <f t="shared" si="56"/>
        <v>0</v>
      </c>
      <c r="AR400" s="196">
        <f t="shared" si="56"/>
        <v>0</v>
      </c>
      <c r="AS400" s="196">
        <f t="shared" si="56"/>
        <v>0</v>
      </c>
      <c r="AT400" s="196">
        <f t="shared" si="56"/>
        <v>0</v>
      </c>
      <c r="AU400" s="196">
        <f t="shared" si="56"/>
        <v>0</v>
      </c>
      <c r="AV400" s="196">
        <f t="shared" si="56"/>
        <v>0</v>
      </c>
      <c r="AW400" s="196">
        <f t="shared" si="56"/>
        <v>0</v>
      </c>
      <c r="AX400" s="196">
        <f t="shared" si="56"/>
        <v>0</v>
      </c>
      <c r="AY400" s="196">
        <f t="shared" si="56"/>
        <v>0</v>
      </c>
      <c r="AZ400" s="196">
        <f t="shared" si="56"/>
        <v>0</v>
      </c>
    </row>
    <row r="401">
      <c r="A401" s="168"/>
      <c r="B401" s="197" t="s">
        <v>453</v>
      </c>
      <c r="C401" s="192"/>
      <c r="D401" s="202"/>
      <c r="E401" s="203">
        <f t="shared" ref="E401:AZ401" si="57">if(Right(E399,4)&lt;=MID($C$379,40,4),E400*$C$388,0)</f>
        <v>0</v>
      </c>
      <c r="F401" s="203">
        <f t="shared" si="57"/>
        <v>0</v>
      </c>
      <c r="G401" s="203">
        <f t="shared" si="57"/>
        <v>0</v>
      </c>
      <c r="H401" s="203">
        <f t="shared" si="57"/>
        <v>0</v>
      </c>
      <c r="I401" s="203">
        <f t="shared" si="57"/>
        <v>0</v>
      </c>
      <c r="J401" s="203">
        <f t="shared" si="57"/>
        <v>0</v>
      </c>
      <c r="K401" s="203">
        <f t="shared" si="57"/>
        <v>0</v>
      </c>
      <c r="L401" s="203">
        <f t="shared" si="57"/>
        <v>0</v>
      </c>
      <c r="M401" s="203">
        <f t="shared" si="57"/>
        <v>0</v>
      </c>
      <c r="N401" s="203">
        <f t="shared" si="57"/>
        <v>0</v>
      </c>
      <c r="O401" s="203">
        <f t="shared" si="57"/>
        <v>0</v>
      </c>
      <c r="P401" s="203">
        <f t="shared" si="57"/>
        <v>0</v>
      </c>
      <c r="Q401" s="203">
        <f t="shared" si="57"/>
        <v>0</v>
      </c>
      <c r="R401" s="203">
        <f t="shared" si="57"/>
        <v>0</v>
      </c>
      <c r="S401" s="203">
        <f t="shared" si="57"/>
        <v>0</v>
      </c>
      <c r="T401" s="203">
        <f t="shared" si="57"/>
        <v>0</v>
      </c>
      <c r="U401" s="203">
        <f t="shared" si="57"/>
        <v>0</v>
      </c>
      <c r="V401" s="203">
        <f t="shared" si="57"/>
        <v>0</v>
      </c>
      <c r="W401" s="203">
        <f t="shared" si="57"/>
        <v>0</v>
      </c>
      <c r="X401" s="203">
        <f t="shared" si="57"/>
        <v>0</v>
      </c>
      <c r="Y401" s="203">
        <f t="shared" si="57"/>
        <v>0</v>
      </c>
      <c r="Z401" s="203">
        <f t="shared" si="57"/>
        <v>0</v>
      </c>
      <c r="AA401" s="203">
        <f t="shared" si="57"/>
        <v>0</v>
      </c>
      <c r="AB401" s="203">
        <f t="shared" si="57"/>
        <v>0</v>
      </c>
      <c r="AC401" s="203">
        <f t="shared" si="57"/>
        <v>0</v>
      </c>
      <c r="AD401" s="203">
        <f t="shared" si="57"/>
        <v>0</v>
      </c>
      <c r="AE401" s="203">
        <f t="shared" si="57"/>
        <v>0</v>
      </c>
      <c r="AF401" s="203">
        <f t="shared" si="57"/>
        <v>0</v>
      </c>
      <c r="AG401" s="203">
        <f t="shared" si="57"/>
        <v>0</v>
      </c>
      <c r="AH401" s="203">
        <f t="shared" si="57"/>
        <v>0</v>
      </c>
      <c r="AI401" s="203">
        <f t="shared" si="57"/>
        <v>0</v>
      </c>
      <c r="AJ401" s="203">
        <f t="shared" si="57"/>
        <v>0</v>
      </c>
      <c r="AK401" s="203">
        <f t="shared" si="57"/>
        <v>0</v>
      </c>
      <c r="AL401" s="203">
        <f t="shared" si="57"/>
        <v>0</v>
      </c>
      <c r="AM401" s="203">
        <f t="shared" si="57"/>
        <v>0</v>
      </c>
      <c r="AN401" s="203">
        <f t="shared" si="57"/>
        <v>0</v>
      </c>
      <c r="AO401" s="203">
        <f t="shared" si="57"/>
        <v>0</v>
      </c>
      <c r="AP401" s="203">
        <f t="shared" si="57"/>
        <v>0</v>
      </c>
      <c r="AQ401" s="203">
        <f t="shared" si="57"/>
        <v>0</v>
      </c>
      <c r="AR401" s="203">
        <f t="shared" si="57"/>
        <v>0</v>
      </c>
      <c r="AS401" s="203">
        <f t="shared" si="57"/>
        <v>0</v>
      </c>
      <c r="AT401" s="203">
        <f t="shared" si="57"/>
        <v>0</v>
      </c>
      <c r="AU401" s="203">
        <f t="shared" si="57"/>
        <v>0</v>
      </c>
      <c r="AV401" s="203">
        <f t="shared" si="57"/>
        <v>0</v>
      </c>
      <c r="AW401" s="203">
        <f t="shared" si="57"/>
        <v>0</v>
      </c>
      <c r="AX401" s="203">
        <f t="shared" si="57"/>
        <v>0</v>
      </c>
      <c r="AY401" s="203">
        <f t="shared" si="57"/>
        <v>0</v>
      </c>
      <c r="AZ401" s="203">
        <f t="shared" si="57"/>
        <v>0</v>
      </c>
    </row>
    <row r="402">
      <c r="A402" s="168"/>
      <c r="B402" s="197" t="s">
        <v>454</v>
      </c>
      <c r="C402" s="192"/>
      <c r="D402" s="202"/>
      <c r="E402" s="283">
        <f>sum(E400:E401)</f>
        <v>0</v>
      </c>
      <c r="F402" s="283">
        <f t="shared" ref="F402:AZ402" si="58">E402*(1+$C$386)+sum(F400:F401)</f>
        <v>0</v>
      </c>
      <c r="G402" s="283">
        <f t="shared" si="58"/>
        <v>0</v>
      </c>
      <c r="H402" s="283">
        <f t="shared" si="58"/>
        <v>0</v>
      </c>
      <c r="I402" s="283">
        <f t="shared" si="58"/>
        <v>0</v>
      </c>
      <c r="J402" s="283">
        <f t="shared" si="58"/>
        <v>0</v>
      </c>
      <c r="K402" s="283">
        <f t="shared" si="58"/>
        <v>0</v>
      </c>
      <c r="L402" s="283">
        <f t="shared" si="58"/>
        <v>0</v>
      </c>
      <c r="M402" s="283">
        <f t="shared" si="58"/>
        <v>0</v>
      </c>
      <c r="N402" s="283">
        <f t="shared" si="58"/>
        <v>0</v>
      </c>
      <c r="O402" s="283">
        <f t="shared" si="58"/>
        <v>0</v>
      </c>
      <c r="P402" s="283">
        <f t="shared" si="58"/>
        <v>0</v>
      </c>
      <c r="Q402" s="283">
        <f t="shared" si="58"/>
        <v>0</v>
      </c>
      <c r="R402" s="283">
        <f t="shared" si="58"/>
        <v>0</v>
      </c>
      <c r="S402" s="283">
        <f t="shared" si="58"/>
        <v>0</v>
      </c>
      <c r="T402" s="283">
        <f t="shared" si="58"/>
        <v>0</v>
      </c>
      <c r="U402" s="283">
        <f t="shared" si="58"/>
        <v>0</v>
      </c>
      <c r="V402" s="283">
        <f t="shared" si="58"/>
        <v>0</v>
      </c>
      <c r="W402" s="283">
        <f t="shared" si="58"/>
        <v>0</v>
      </c>
      <c r="X402" s="283">
        <f t="shared" si="58"/>
        <v>0</v>
      </c>
      <c r="Y402" s="283">
        <f t="shared" si="58"/>
        <v>0</v>
      </c>
      <c r="Z402" s="283">
        <f t="shared" si="58"/>
        <v>0</v>
      </c>
      <c r="AA402" s="283">
        <f t="shared" si="58"/>
        <v>0</v>
      </c>
      <c r="AB402" s="283">
        <f t="shared" si="58"/>
        <v>0</v>
      </c>
      <c r="AC402" s="283">
        <f t="shared" si="58"/>
        <v>0</v>
      </c>
      <c r="AD402" s="283">
        <f t="shared" si="58"/>
        <v>0</v>
      </c>
      <c r="AE402" s="283">
        <f t="shared" si="58"/>
        <v>0</v>
      </c>
      <c r="AF402" s="283">
        <f t="shared" si="58"/>
        <v>0</v>
      </c>
      <c r="AG402" s="283">
        <f t="shared" si="58"/>
        <v>0</v>
      </c>
      <c r="AH402" s="283">
        <f t="shared" si="58"/>
        <v>0</v>
      </c>
      <c r="AI402" s="283">
        <f t="shared" si="58"/>
        <v>0</v>
      </c>
      <c r="AJ402" s="283">
        <f t="shared" si="58"/>
        <v>0</v>
      </c>
      <c r="AK402" s="283">
        <f t="shared" si="58"/>
        <v>0</v>
      </c>
      <c r="AL402" s="283">
        <f t="shared" si="58"/>
        <v>0</v>
      </c>
      <c r="AM402" s="283">
        <f t="shared" si="58"/>
        <v>0</v>
      </c>
      <c r="AN402" s="283">
        <f t="shared" si="58"/>
        <v>0</v>
      </c>
      <c r="AO402" s="283">
        <f t="shared" si="58"/>
        <v>0</v>
      </c>
      <c r="AP402" s="283">
        <f t="shared" si="58"/>
        <v>0</v>
      </c>
      <c r="AQ402" s="283">
        <f t="shared" si="58"/>
        <v>0</v>
      </c>
      <c r="AR402" s="283">
        <f t="shared" si="58"/>
        <v>0</v>
      </c>
      <c r="AS402" s="283">
        <f t="shared" si="58"/>
        <v>0</v>
      </c>
      <c r="AT402" s="283">
        <f t="shared" si="58"/>
        <v>0</v>
      </c>
      <c r="AU402" s="283">
        <f t="shared" si="58"/>
        <v>0</v>
      </c>
      <c r="AV402" s="283">
        <f t="shared" si="58"/>
        <v>0</v>
      </c>
      <c r="AW402" s="283">
        <f t="shared" si="58"/>
        <v>0</v>
      </c>
      <c r="AX402" s="283">
        <f t="shared" si="58"/>
        <v>0</v>
      </c>
      <c r="AY402" s="283">
        <f t="shared" si="58"/>
        <v>0</v>
      </c>
      <c r="AZ402" s="283">
        <f t="shared" si="58"/>
        <v>0</v>
      </c>
    </row>
    <row r="403">
      <c r="A403" s="168"/>
      <c r="B403" s="197" t="s">
        <v>455</v>
      </c>
      <c r="C403" s="192"/>
      <c r="D403" s="202"/>
      <c r="E403" s="284">
        <f>if(RIGHT(E$399,4)=MID($C$379,40,4),Min(25%*E402,$C$393),if(RIGHT(E$399,4)&gt;MID($C$379,40,4),MIN(pens_ann_inc_gro,E402),0))</f>
        <v>0</v>
      </c>
      <c r="F403" s="284">
        <f>if(RIGHT(F$399,4)=MID($C$379,40,4),Min(25%*F402,$C$393),if(RIGHT(F$399,4)&gt;MID($C$379,40,4),MIN(pens_ann_inc_gro,F402),0))</f>
        <v>0</v>
      </c>
      <c r="G403" s="284">
        <f>if(RIGHT(G$399,4)=MID($C$379,40,4),Min(25%*G402,$C$393),if(RIGHT(G$399,4)&gt;MID($C$379,40,4),MIN(pens_ann_inc_gro,G402),0))</f>
        <v>0</v>
      </c>
      <c r="H403" s="284">
        <f>if(RIGHT(H$399,4)=MID($C$379,40,4),Min(25%*H402,$C$393),if(RIGHT(H$399,4)&gt;MID($C$379,40,4),MIN(pens_ann_inc_gro,H402),0))</f>
        <v>0</v>
      </c>
      <c r="I403" s="284">
        <f>if(RIGHT(I$399,4)=MID($C$379,40,4),Min(25%*I402,$C$393),if(RIGHT(I$399,4)&gt;MID($C$379,40,4),MIN(pens_ann_inc_gro,I402),0))</f>
        <v>0</v>
      </c>
      <c r="J403" s="284">
        <f>if(RIGHT(J$399,4)=MID($C$379,40,4),Min(25%*J402,$C$393),if(RIGHT(J$399,4)&gt;MID($C$379,40,4),MIN(pens_ann_inc_gro,J402),0))</f>
        <v>0</v>
      </c>
      <c r="K403" s="284">
        <f>if(RIGHT(K$399,4)=MID($C$379,40,4),Min(25%*K402,$C$393),if(RIGHT(K$399,4)&gt;MID($C$379,40,4),MIN(pens_ann_inc_gro,K402),0))</f>
        <v>0</v>
      </c>
      <c r="L403" s="284">
        <f>if(RIGHT(L$399,4)=MID($C$379,40,4),Min(25%*L402,$C$393),if(RIGHT(L$399,4)&gt;MID($C$379,40,4),MIN(pens_ann_inc_gro,L402),0))</f>
        <v>0</v>
      </c>
      <c r="M403" s="284">
        <f>if(RIGHT(M$399,4)=MID($C$379,40,4),Min(25%*M402,$C$393),if(RIGHT(M$399,4)&gt;MID($C$379,40,4),MIN(pens_ann_inc_gro,M402),0))</f>
        <v>0</v>
      </c>
      <c r="N403" s="284">
        <f>if(RIGHT(N$399,4)=MID($C$379,40,4),Min(25%*N402,$C$393),if(RIGHT(N$399,4)&gt;MID($C$379,40,4),MIN(pens_ann_inc_gro,N402),0))</f>
        <v>0</v>
      </c>
      <c r="O403" s="284">
        <f>if(RIGHT(O$399,4)=MID($C$379,40,4),Min(25%*O402,$C$393),if(RIGHT(O$399,4)&gt;MID($C$379,40,4),MIN(pens_ann_inc_gro,O402),0))</f>
        <v>0</v>
      </c>
      <c r="P403" s="284">
        <f>if(RIGHT(P$399,4)=MID($C$379,40,4),Min(25%*P402,$C$393),if(RIGHT(P$399,4)&gt;MID($C$379,40,4),MIN(pens_ann_inc_gro,P402),0))</f>
        <v>0</v>
      </c>
      <c r="Q403" s="284">
        <f>if(RIGHT(Q$399,4)=MID($C$379,40,4),Min(25%*Q402,$C$393),if(RIGHT(Q$399,4)&gt;MID($C$379,40,4),MIN(pens_ann_inc_gro,Q402),0))</f>
        <v>0</v>
      </c>
      <c r="R403" s="284">
        <f>if(RIGHT(R$399,4)=MID($C$379,40,4),Min(25%*R402,$C$393),if(RIGHT(R$399,4)&gt;MID($C$379,40,4),MIN(pens_ann_inc_gro,R402),0))</f>
        <v>0</v>
      </c>
      <c r="S403" s="284">
        <f>if(RIGHT(S$399,4)=MID($C$379,40,4),Min(25%*S402,$C$393),if(RIGHT(S$399,4)&gt;MID($C$379,40,4),MIN(pens_ann_inc_gro,S402),0))</f>
        <v>0</v>
      </c>
      <c r="T403" s="284">
        <f>if(RIGHT(T$399,4)=MID($C$379,40,4),Min(25%*T402,$C$393),if(RIGHT(T$399,4)&gt;MID($C$379,40,4),MIN(pens_ann_inc_gro,T402),0))</f>
        <v>0</v>
      </c>
      <c r="U403" s="284">
        <f>if(RIGHT(U$399,4)=MID($C$379,40,4),Min(25%*U402,$C$393),if(RIGHT(U$399,4)&gt;MID($C$379,40,4),MIN(pens_ann_inc_gro,U402),0))</f>
        <v>0</v>
      </c>
      <c r="V403" s="284">
        <f>if(RIGHT(V$399,4)=MID($C$379,40,4),Min(25%*V402,$C$393),if(RIGHT(V$399,4)&gt;MID($C$379,40,4),MIN(pens_ann_inc_gro,V402),0))</f>
        <v>0</v>
      </c>
      <c r="W403" s="284">
        <f>if(RIGHT(W$399,4)=MID($C$379,40,4),Min(25%*W402,$C$393),if(RIGHT(W$399,4)&gt;MID($C$379,40,4),MIN(pens_ann_inc_gro,W402),0))</f>
        <v>0</v>
      </c>
      <c r="X403" s="284">
        <f>if(RIGHT(X$399,4)=MID($C$379,40,4),Min(25%*X402,$C$393),if(RIGHT(X$399,4)&gt;MID($C$379,40,4),MIN(pens_ann_inc_gro,X402),0))</f>
        <v>0</v>
      </c>
      <c r="Y403" s="284">
        <f>if(RIGHT(Y$399,4)=MID($C$379,40,4),Min(25%*Y402,$C$393),if(RIGHT(Y$399,4)&gt;MID($C$379,40,4),MIN(pens_ann_inc_gro,Y402),0))</f>
        <v>0</v>
      </c>
      <c r="Z403" s="284">
        <f>if(RIGHT(Z$399,4)=MID($C$379,40,4),Min(25%*Z402,$C$393),if(RIGHT(Z$399,4)&gt;MID($C$379,40,4),MIN(pens_ann_inc_gro,Z402),0))</f>
        <v>0</v>
      </c>
      <c r="AA403" s="284">
        <f>if(RIGHT(AA$399,4)=MID($C$379,40,4),Min(25%*AA402,$C$393),if(RIGHT(AA$399,4)&gt;MID($C$379,40,4),MIN(pens_ann_inc_gro,AA402),0))</f>
        <v>0</v>
      </c>
      <c r="AB403" s="284">
        <f>if(RIGHT(AB$399,4)=MID($C$379,40,4),Min(25%*AB402,$C$393),if(RIGHT(AB$399,4)&gt;MID($C$379,40,4),MIN(pens_ann_inc_gro,AB402),0))</f>
        <v>0</v>
      </c>
      <c r="AC403" s="284">
        <f>if(RIGHT(AC$399,4)=MID($C$379,40,4),Min(25%*AC402,$C$393),if(RIGHT(AC$399,4)&gt;MID($C$379,40,4),MIN(pens_ann_inc_gro,AC402),0))</f>
        <v>0</v>
      </c>
      <c r="AD403" s="284">
        <f>if(RIGHT(AD$399,4)=MID($C$379,40,4),Min(25%*AD402,$C$393),if(RIGHT(AD$399,4)&gt;MID($C$379,40,4),MIN(pens_ann_inc_gro,AD402),0))</f>
        <v>0</v>
      </c>
      <c r="AE403" s="284">
        <f>if(RIGHT(AE$399,4)=MID($C$379,40,4),Min(25%*AE402,$C$393),if(RIGHT(AE$399,4)&gt;MID($C$379,40,4),MIN(pens_ann_inc_gro,AE402),0))</f>
        <v>0</v>
      </c>
      <c r="AF403" s="284">
        <f>if(RIGHT(AF$399,4)=MID($C$379,40,4),Min(25%*AF402,$C$393),if(RIGHT(AF$399,4)&gt;MID($C$379,40,4),MIN(pens_ann_inc_gro,AF402),0))</f>
        <v>0</v>
      </c>
      <c r="AG403" s="284">
        <f>if(RIGHT(AG$399,4)=MID($C$379,40,4),Min(25%*AG402,$C$393),if(RIGHT(AG$399,4)&gt;MID($C$379,40,4),MIN(pens_ann_inc_gro,AG402),0))</f>
        <v>0</v>
      </c>
      <c r="AH403" s="284">
        <f>if(RIGHT(AH$399,4)=MID($C$379,40,4),Min(25%*AH402,$C$393),if(RIGHT(AH$399,4)&gt;MID($C$379,40,4),MIN(pens_ann_inc_gro,AH402),0))</f>
        <v>0</v>
      </c>
      <c r="AI403" s="284">
        <f>if(RIGHT(AI$399,4)=MID($C$379,40,4),Min(25%*AI402,$C$393),if(RIGHT(AI$399,4)&gt;MID($C$379,40,4),MIN(pens_ann_inc_gro,AI402),0))</f>
        <v>0</v>
      </c>
      <c r="AJ403" s="284">
        <f>if(RIGHT(AJ$399,4)=MID($C$379,40,4),Min(25%*AJ402,$C$393),if(RIGHT(AJ$399,4)&gt;MID($C$379,40,4),MIN(pens_ann_inc_gro,AJ402),0))</f>
        <v>0</v>
      </c>
      <c r="AK403" s="284">
        <f>if(RIGHT(AK$399,4)=MID($C$379,40,4),Min(25%*AK402,$C$393),if(RIGHT(AK$399,4)&gt;MID($C$379,40,4),MIN(pens_ann_inc_gro,AK402),0))</f>
        <v>0</v>
      </c>
      <c r="AL403" s="284">
        <f>if(RIGHT(AL$399,4)=MID($C$379,40,4),Min(25%*AL402,$C$393),if(RIGHT(AL$399,4)&gt;MID($C$379,40,4),MIN(pens_ann_inc_gro,AL402),0))</f>
        <v>0</v>
      </c>
      <c r="AM403" s="284">
        <f>if(RIGHT(AM$399,4)=MID($C$379,40,4),Min(25%*AM402,$C$393),if(RIGHT(AM$399,4)&gt;MID($C$379,40,4),MIN(pens_ann_inc_gro,AM402),0))</f>
        <v>0</v>
      </c>
      <c r="AN403" s="284">
        <f>if(RIGHT(AN$399,4)=MID($C$379,40,4),Min(25%*AN402,$C$393),if(RIGHT(AN$399,4)&gt;MID($C$379,40,4),MIN(pens_ann_inc_gro,AN402),0))</f>
        <v>0</v>
      </c>
      <c r="AO403" s="284">
        <f>if(RIGHT(AO$399,4)=MID($C$379,40,4),Min(25%*AO402,$C$393),if(RIGHT(AO$399,4)&gt;MID($C$379,40,4),MIN(pens_ann_inc_gro,AO402),0))</f>
        <v>0</v>
      </c>
      <c r="AP403" s="284">
        <f>if(RIGHT(AP$399,4)=MID($C$379,40,4),Min(25%*AP402,$C$393),if(RIGHT(AP$399,4)&gt;MID($C$379,40,4),MIN(pens_ann_inc_gro,AP402),0))</f>
        <v>0</v>
      </c>
      <c r="AQ403" s="284">
        <f>if(RIGHT(AQ$399,4)=MID($C$379,40,4),Min(25%*AQ402,$C$393),if(RIGHT(AQ$399,4)&gt;MID($C$379,40,4),MIN(pens_ann_inc_gro,AQ402),0))</f>
        <v>0</v>
      </c>
      <c r="AR403" s="284">
        <f>if(RIGHT(AR$399,4)=MID($C$379,40,4),Min(25%*AR402,$C$393),if(RIGHT(AR$399,4)&gt;MID($C$379,40,4),MIN(pens_ann_inc_gro,AR402),0))</f>
        <v>0</v>
      </c>
      <c r="AS403" s="284">
        <f>if(RIGHT(AS$399,4)=MID($C$379,40,4),Min(25%*AS402,$C$393),if(RIGHT(AS$399,4)&gt;MID($C$379,40,4),MIN(pens_ann_inc_gro,AS402),0))</f>
        <v>0</v>
      </c>
      <c r="AT403" s="284">
        <f>if(RIGHT(AT$399,4)=MID($C$379,40,4),Min(25%*AT402,$C$393),if(RIGHT(AT$399,4)&gt;MID($C$379,40,4),MIN(pens_ann_inc_gro,AT402),0))</f>
        <v>0</v>
      </c>
      <c r="AU403" s="284">
        <f>if(RIGHT(AU$399,4)=MID($C$379,40,4),Min(25%*AU402,$C$393),if(RIGHT(AU$399,4)&gt;MID($C$379,40,4),MIN(pens_ann_inc_gro,AU402),0))</f>
        <v>0</v>
      </c>
      <c r="AV403" s="284">
        <f>if(RIGHT(AV$399,4)=MID($C$379,40,4),Min(25%*AV402,$C$393),if(RIGHT(AV$399,4)&gt;MID($C$379,40,4),MIN(pens_ann_inc_gro,AV402),0))</f>
        <v>0</v>
      </c>
      <c r="AW403" s="284">
        <f>if(RIGHT(AW$399,4)=MID($C$379,40,4),Min(25%*AW402,$C$393),if(RIGHT(AW$399,4)&gt;MID($C$379,40,4),MIN(pens_ann_inc_gro,AW402),0))</f>
        <v>0</v>
      </c>
      <c r="AX403" s="284">
        <f>if(RIGHT(AX$399,4)=MID($C$379,40,4),Min(25%*AX402,$C$393),if(RIGHT(AX$399,4)&gt;MID($C$379,40,4),MIN(pens_ann_inc_gro,AX402),0))</f>
        <v>0</v>
      </c>
      <c r="AY403" s="284">
        <f>if(RIGHT(AY$399,4)=MID($C$379,40,4),Min(25%*AY402,$C$393),if(RIGHT(AY$399,4)&gt;MID($C$379,40,4),MIN(pens_ann_inc_gro,AY402),0))</f>
        <v>0</v>
      </c>
      <c r="AZ403" s="284">
        <f>if(RIGHT(AZ$399,4)=MID($C$379,40,4),Min(25%*AZ402,$C$393),if(RIGHT(AZ$399,4)&gt;MID($C$379,40,4),MIN(pens_ann_inc_gro,AZ402),0))</f>
        <v>0</v>
      </c>
    </row>
    <row r="404">
      <c r="A404" s="168"/>
      <c r="B404" s="197" t="s">
        <v>456</v>
      </c>
      <c r="C404" s="285" t="s">
        <v>457</v>
      </c>
      <c r="D404" s="199"/>
      <c r="E404" s="199">
        <f t="shared" ref="E404:AZ404" si="59">LET(
  income, E403,
  pa, IF(income&lt;=125140, MAX(0, 12570 - MAX(0, (income-100000)/2)), 0),
  taxable, MAX(0, income-pa),
  basic, MIN(37700, MAX(0, taxable)),
  higher, MIN(125140-50270, MAX(0, taxable-37700)),
  additional, MAX(0, taxable-125140+pa),
  tax, basic*0.2 + higher*0.4 + additional*0.45,
  income-tax
)
</f>
        <v>0</v>
      </c>
      <c r="F404" s="199">
        <f t="shared" si="59"/>
        <v>0</v>
      </c>
      <c r="G404" s="199">
        <f t="shared" si="59"/>
        <v>0</v>
      </c>
      <c r="H404" s="199">
        <f t="shared" si="59"/>
        <v>0</v>
      </c>
      <c r="I404" s="199">
        <f t="shared" si="59"/>
        <v>0</v>
      </c>
      <c r="J404" s="199">
        <f t="shared" si="59"/>
        <v>0</v>
      </c>
      <c r="K404" s="199">
        <f t="shared" si="59"/>
        <v>0</v>
      </c>
      <c r="L404" s="199">
        <f t="shared" si="59"/>
        <v>0</v>
      </c>
      <c r="M404" s="199">
        <f t="shared" si="59"/>
        <v>0</v>
      </c>
      <c r="N404" s="199">
        <f t="shared" si="59"/>
        <v>0</v>
      </c>
      <c r="O404" s="199">
        <f t="shared" si="59"/>
        <v>0</v>
      </c>
      <c r="P404" s="199">
        <f t="shared" si="59"/>
        <v>0</v>
      </c>
      <c r="Q404" s="199">
        <f t="shared" si="59"/>
        <v>0</v>
      </c>
      <c r="R404" s="199">
        <f t="shared" si="59"/>
        <v>0</v>
      </c>
      <c r="S404" s="199">
        <f t="shared" si="59"/>
        <v>0</v>
      </c>
      <c r="T404" s="199">
        <f t="shared" si="59"/>
        <v>0</v>
      </c>
      <c r="U404" s="199">
        <f t="shared" si="59"/>
        <v>0</v>
      </c>
      <c r="V404" s="199">
        <f t="shared" si="59"/>
        <v>0</v>
      </c>
      <c r="W404" s="199">
        <f t="shared" si="59"/>
        <v>0</v>
      </c>
      <c r="X404" s="199">
        <f t="shared" si="59"/>
        <v>0</v>
      </c>
      <c r="Y404" s="199">
        <f t="shared" si="59"/>
        <v>0</v>
      </c>
      <c r="Z404" s="199">
        <f t="shared" si="59"/>
        <v>0</v>
      </c>
      <c r="AA404" s="199">
        <f t="shared" si="59"/>
        <v>0</v>
      </c>
      <c r="AB404" s="199">
        <f t="shared" si="59"/>
        <v>0</v>
      </c>
      <c r="AC404" s="199">
        <f t="shared" si="59"/>
        <v>0</v>
      </c>
      <c r="AD404" s="199">
        <f t="shared" si="59"/>
        <v>0</v>
      </c>
      <c r="AE404" s="199">
        <f t="shared" si="59"/>
        <v>0</v>
      </c>
      <c r="AF404" s="199">
        <f t="shared" si="59"/>
        <v>0</v>
      </c>
      <c r="AG404" s="199">
        <f t="shared" si="59"/>
        <v>0</v>
      </c>
      <c r="AH404" s="199">
        <f t="shared" si="59"/>
        <v>0</v>
      </c>
      <c r="AI404" s="199">
        <f t="shared" si="59"/>
        <v>0</v>
      </c>
      <c r="AJ404" s="199">
        <f t="shared" si="59"/>
        <v>0</v>
      </c>
      <c r="AK404" s="199">
        <f t="shared" si="59"/>
        <v>0</v>
      </c>
      <c r="AL404" s="199">
        <f t="shared" si="59"/>
        <v>0</v>
      </c>
      <c r="AM404" s="199">
        <f t="shared" si="59"/>
        <v>0</v>
      </c>
      <c r="AN404" s="199">
        <f t="shared" si="59"/>
        <v>0</v>
      </c>
      <c r="AO404" s="199">
        <f t="shared" si="59"/>
        <v>0</v>
      </c>
      <c r="AP404" s="199">
        <f t="shared" si="59"/>
        <v>0</v>
      </c>
      <c r="AQ404" s="199">
        <f t="shared" si="59"/>
        <v>0</v>
      </c>
      <c r="AR404" s="199">
        <f t="shared" si="59"/>
        <v>0</v>
      </c>
      <c r="AS404" s="199">
        <f t="shared" si="59"/>
        <v>0</v>
      </c>
      <c r="AT404" s="199">
        <f t="shared" si="59"/>
        <v>0</v>
      </c>
      <c r="AU404" s="199">
        <f t="shared" si="59"/>
        <v>0</v>
      </c>
      <c r="AV404" s="199">
        <f t="shared" si="59"/>
        <v>0</v>
      </c>
      <c r="AW404" s="199">
        <f t="shared" si="59"/>
        <v>0</v>
      </c>
      <c r="AX404" s="199">
        <f t="shared" si="59"/>
        <v>0</v>
      </c>
      <c r="AY404" s="199">
        <f t="shared" si="59"/>
        <v>0</v>
      </c>
      <c r="AZ404" s="199">
        <f t="shared" si="59"/>
        <v>0</v>
      </c>
    </row>
    <row r="405">
      <c r="A405" s="168"/>
      <c r="B405" s="197" t="s">
        <v>458</v>
      </c>
      <c r="C405" s="192"/>
      <c r="D405" s="199"/>
      <c r="E405" s="199">
        <f t="shared" ref="E405:AZ405" si="60">E402+E404-sum($E400:E400)</f>
        <v>0</v>
      </c>
      <c r="F405" s="199">
        <f t="shared" si="60"/>
        <v>0</v>
      </c>
      <c r="G405" s="199">
        <f t="shared" si="60"/>
        <v>0</v>
      </c>
      <c r="H405" s="199">
        <f t="shared" si="60"/>
        <v>0</v>
      </c>
      <c r="I405" s="199">
        <f t="shared" si="60"/>
        <v>0</v>
      </c>
      <c r="J405" s="199">
        <f t="shared" si="60"/>
        <v>0</v>
      </c>
      <c r="K405" s="199">
        <f t="shared" si="60"/>
        <v>0</v>
      </c>
      <c r="L405" s="199">
        <f t="shared" si="60"/>
        <v>0</v>
      </c>
      <c r="M405" s="199">
        <f t="shared" si="60"/>
        <v>0</v>
      </c>
      <c r="N405" s="199">
        <f t="shared" si="60"/>
        <v>0</v>
      </c>
      <c r="O405" s="199">
        <f t="shared" si="60"/>
        <v>0</v>
      </c>
      <c r="P405" s="199">
        <f t="shared" si="60"/>
        <v>0</v>
      </c>
      <c r="Q405" s="199">
        <f t="shared" si="60"/>
        <v>0</v>
      </c>
      <c r="R405" s="199">
        <f t="shared" si="60"/>
        <v>0</v>
      </c>
      <c r="S405" s="199">
        <f t="shared" si="60"/>
        <v>0</v>
      </c>
      <c r="T405" s="199">
        <f t="shared" si="60"/>
        <v>0</v>
      </c>
      <c r="U405" s="199">
        <f t="shared" si="60"/>
        <v>0</v>
      </c>
      <c r="V405" s="199">
        <f t="shared" si="60"/>
        <v>0</v>
      </c>
      <c r="W405" s="199">
        <f t="shared" si="60"/>
        <v>0</v>
      </c>
      <c r="X405" s="199">
        <f t="shared" si="60"/>
        <v>0</v>
      </c>
      <c r="Y405" s="199">
        <f t="shared" si="60"/>
        <v>0</v>
      </c>
      <c r="Z405" s="199">
        <f t="shared" si="60"/>
        <v>0</v>
      </c>
      <c r="AA405" s="199">
        <f t="shared" si="60"/>
        <v>0</v>
      </c>
      <c r="AB405" s="199">
        <f t="shared" si="60"/>
        <v>0</v>
      </c>
      <c r="AC405" s="199">
        <f t="shared" si="60"/>
        <v>0</v>
      </c>
      <c r="AD405" s="199">
        <f t="shared" si="60"/>
        <v>0</v>
      </c>
      <c r="AE405" s="199">
        <f t="shared" si="60"/>
        <v>0</v>
      </c>
      <c r="AF405" s="199">
        <f t="shared" si="60"/>
        <v>0</v>
      </c>
      <c r="AG405" s="199">
        <f t="shared" si="60"/>
        <v>0</v>
      </c>
      <c r="AH405" s="199">
        <f t="shared" si="60"/>
        <v>0</v>
      </c>
      <c r="AI405" s="199">
        <f t="shared" si="60"/>
        <v>0</v>
      </c>
      <c r="AJ405" s="199">
        <f t="shared" si="60"/>
        <v>0</v>
      </c>
      <c r="AK405" s="199">
        <f t="shared" si="60"/>
        <v>0</v>
      </c>
      <c r="AL405" s="199">
        <f t="shared" si="60"/>
        <v>0</v>
      </c>
      <c r="AM405" s="199">
        <f t="shared" si="60"/>
        <v>0</v>
      </c>
      <c r="AN405" s="199">
        <f t="shared" si="60"/>
        <v>0</v>
      </c>
      <c r="AO405" s="199">
        <f t="shared" si="60"/>
        <v>0</v>
      </c>
      <c r="AP405" s="199">
        <f t="shared" si="60"/>
        <v>0</v>
      </c>
      <c r="AQ405" s="199">
        <f t="shared" si="60"/>
        <v>0</v>
      </c>
      <c r="AR405" s="199">
        <f t="shared" si="60"/>
        <v>0</v>
      </c>
      <c r="AS405" s="199">
        <f t="shared" si="60"/>
        <v>0</v>
      </c>
      <c r="AT405" s="199">
        <f t="shared" si="60"/>
        <v>0</v>
      </c>
      <c r="AU405" s="199">
        <f t="shared" si="60"/>
        <v>0</v>
      </c>
      <c r="AV405" s="199">
        <f t="shared" si="60"/>
        <v>0</v>
      </c>
      <c r="AW405" s="199">
        <f t="shared" si="60"/>
        <v>0</v>
      </c>
      <c r="AX405" s="199">
        <f t="shared" si="60"/>
        <v>0</v>
      </c>
      <c r="AY405" s="199">
        <f t="shared" si="60"/>
        <v>0</v>
      </c>
      <c r="AZ405" s="199">
        <f t="shared" si="60"/>
        <v>0</v>
      </c>
    </row>
    <row r="406">
      <c r="A406" s="168"/>
      <c r="B406" s="168"/>
      <c r="C406" s="192"/>
      <c r="D406" s="209"/>
      <c r="E406" s="209"/>
      <c r="F406" s="209"/>
      <c r="G406" s="209"/>
      <c r="H406" s="209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  <c r="AC406" s="266"/>
      <c r="AD406" s="266"/>
      <c r="AE406" s="266"/>
      <c r="AF406" s="266"/>
      <c r="AG406" s="266"/>
      <c r="AH406" s="266"/>
      <c r="AI406" s="266"/>
      <c r="AJ406" s="266"/>
      <c r="AK406" s="266"/>
      <c r="AL406" s="266"/>
      <c r="AM406" s="266"/>
      <c r="AN406" s="266"/>
      <c r="AO406" s="266"/>
      <c r="AP406" s="266"/>
      <c r="AQ406" s="266"/>
      <c r="AR406" s="266"/>
      <c r="AS406" s="266"/>
      <c r="AT406" s="266"/>
      <c r="AU406" s="266"/>
      <c r="AV406" s="266"/>
      <c r="AW406" s="266"/>
      <c r="AX406" s="266"/>
      <c r="AY406" s="266"/>
      <c r="AZ406" s="266"/>
    </row>
    <row r="407">
      <c r="A407" s="168"/>
      <c r="B407" s="168"/>
      <c r="C407" s="168"/>
      <c r="D407" s="209"/>
      <c r="E407" s="209"/>
      <c r="F407" s="209"/>
      <c r="G407" s="209"/>
      <c r="H407" s="209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  <c r="AC407" s="266"/>
      <c r="AD407" s="266"/>
      <c r="AE407" s="266"/>
      <c r="AF407" s="266"/>
      <c r="AG407" s="266"/>
      <c r="AH407" s="266"/>
      <c r="AI407" s="266"/>
      <c r="AJ407" s="266"/>
      <c r="AK407" s="266"/>
      <c r="AL407" s="266"/>
      <c r="AM407" s="266"/>
      <c r="AN407" s="266"/>
      <c r="AO407" s="266"/>
      <c r="AP407" s="266"/>
      <c r="AQ407" s="266"/>
      <c r="AR407" s="266"/>
      <c r="AS407" s="266"/>
      <c r="AT407" s="266"/>
      <c r="AU407" s="266"/>
      <c r="AV407" s="266"/>
      <c r="AW407" s="266"/>
      <c r="AX407" s="266"/>
      <c r="AY407" s="266"/>
      <c r="AZ407" s="266"/>
    </row>
    <row r="408">
      <c r="A408" s="168"/>
      <c r="B408" s="139" t="s">
        <v>309</v>
      </c>
      <c r="C408" s="168"/>
      <c r="D408" s="209"/>
      <c r="E408" s="209"/>
      <c r="F408" s="209"/>
      <c r="G408" s="209"/>
      <c r="H408" s="209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  <c r="AC408" s="266"/>
      <c r="AD408" s="266"/>
      <c r="AE408" s="266"/>
      <c r="AF408" s="266"/>
      <c r="AG408" s="266"/>
      <c r="AH408" s="266"/>
      <c r="AI408" s="266"/>
      <c r="AJ408" s="266"/>
      <c r="AK408" s="266"/>
      <c r="AL408" s="266"/>
      <c r="AM408" s="266"/>
      <c r="AN408" s="266"/>
      <c r="AO408" s="266"/>
      <c r="AP408" s="266"/>
      <c r="AQ408" s="266"/>
      <c r="AR408" s="266"/>
      <c r="AS408" s="266"/>
      <c r="AT408" s="266"/>
      <c r="AU408" s="266"/>
      <c r="AV408" s="266"/>
      <c r="AW408" s="266"/>
      <c r="AX408" s="266"/>
      <c r="AY408" s="266"/>
      <c r="AZ408" s="266"/>
    </row>
    <row r="409">
      <c r="A409" s="168"/>
      <c r="B409" s="168"/>
      <c r="C409" s="192"/>
      <c r="D409" s="267" t="s">
        <v>344</v>
      </c>
      <c r="E409" s="21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  <c r="AB409" s="168"/>
      <c r="AC409" s="168"/>
      <c r="AD409" s="168"/>
      <c r="AE409" s="168"/>
      <c r="AF409" s="168"/>
      <c r="AG409" s="168"/>
      <c r="AH409" s="168"/>
      <c r="AI409" s="168"/>
      <c r="AJ409" s="168"/>
      <c r="AK409" s="168"/>
      <c r="AL409" s="168"/>
      <c r="AM409" s="168"/>
      <c r="AN409" s="168"/>
      <c r="AO409" s="168"/>
      <c r="AP409" s="168"/>
      <c r="AQ409" s="168"/>
      <c r="AR409" s="168"/>
      <c r="AS409" s="168"/>
      <c r="AT409" s="168"/>
      <c r="AU409" s="168"/>
      <c r="AV409" s="168"/>
      <c r="AW409" s="168"/>
      <c r="AX409" s="168"/>
      <c r="AY409" s="168"/>
      <c r="AZ409" s="168"/>
    </row>
    <row r="410">
      <c r="A410" s="168"/>
      <c r="B410" s="168"/>
      <c r="C410" s="192"/>
      <c r="D410" s="268" t="s">
        <v>345</v>
      </c>
      <c r="E410" s="269" t="s">
        <v>251</v>
      </c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S410" s="168"/>
      <c r="AT410" s="168"/>
      <c r="AU410" s="168"/>
      <c r="AV410" s="168"/>
      <c r="AW410" s="168"/>
      <c r="AX410" s="168"/>
      <c r="AY410" s="168"/>
      <c r="AZ410" s="168"/>
    </row>
    <row r="411">
      <c r="A411" s="168"/>
      <c r="B411" s="175" t="str">
        <f>"1 year ("&amp;(Year(today())+1)&amp;")"</f>
        <v>1 year (2026)</v>
      </c>
      <c r="C411" s="192"/>
      <c r="D411" s="219">
        <f>E405</f>
        <v>0</v>
      </c>
      <c r="E411" s="217" t="str">
        <f t="shared" ref="E411:E414" si="61">D411/$H$65</f>
        <v>#DIV/0!</v>
      </c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  <c r="AB411" s="168"/>
      <c r="AC411" s="168"/>
      <c r="AD411" s="168"/>
      <c r="AE411" s="168"/>
      <c r="AF411" s="168"/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168"/>
      <c r="AT411" s="168"/>
      <c r="AU411" s="168"/>
      <c r="AV411" s="168"/>
      <c r="AW411" s="168"/>
      <c r="AX411" s="168"/>
      <c r="AY411" s="168"/>
      <c r="AZ411" s="168"/>
    </row>
    <row r="412">
      <c r="A412" s="168"/>
      <c r="B412" s="175" t="str">
        <f>"5 years ("&amp;(Year(today())+5)&amp;")"</f>
        <v>5 years (2030)</v>
      </c>
      <c r="C412" s="192"/>
      <c r="D412" s="219">
        <f>I405</f>
        <v>0</v>
      </c>
      <c r="E412" s="217" t="str">
        <f t="shared" si="61"/>
        <v>#DIV/0!</v>
      </c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  <c r="AB412" s="168"/>
      <c r="AC412" s="168"/>
      <c r="AD412" s="168"/>
      <c r="AE412" s="168"/>
      <c r="AF412" s="168"/>
      <c r="AG412" s="168"/>
      <c r="AH412" s="168"/>
      <c r="AI412" s="168"/>
      <c r="AJ412" s="168"/>
      <c r="AK412" s="168"/>
      <c r="AL412" s="168"/>
      <c r="AM412" s="168"/>
      <c r="AN412" s="168"/>
      <c r="AO412" s="168"/>
      <c r="AP412" s="168"/>
      <c r="AQ412" s="168"/>
      <c r="AR412" s="168"/>
      <c r="AS412" s="168"/>
      <c r="AT412" s="168"/>
      <c r="AU412" s="168"/>
      <c r="AV412" s="168"/>
      <c r="AW412" s="168"/>
      <c r="AX412" s="168"/>
      <c r="AY412" s="168"/>
      <c r="AZ412" s="168"/>
    </row>
    <row r="413">
      <c r="A413" s="168"/>
      <c r="B413" s="175" t="str">
        <f>"10 years ("&amp;(Year(today())+10)&amp;")"</f>
        <v>10 years (2035)</v>
      </c>
      <c r="C413" s="192"/>
      <c r="D413" s="219">
        <f>N405</f>
        <v>0</v>
      </c>
      <c r="E413" s="217" t="str">
        <f t="shared" si="61"/>
        <v>#DIV/0!</v>
      </c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  <c r="AB413" s="168"/>
      <c r="AC413" s="168"/>
      <c r="AD413" s="168"/>
      <c r="AE413" s="168"/>
      <c r="AF413" s="168"/>
      <c r="AG413" s="168"/>
      <c r="AH413" s="168"/>
      <c r="AI413" s="168"/>
      <c r="AJ413" s="168"/>
      <c r="AK413" s="168"/>
      <c r="AL413" s="168"/>
      <c r="AM413" s="168"/>
      <c r="AN413" s="168"/>
      <c r="AO413" s="168"/>
      <c r="AP413" s="168"/>
      <c r="AQ413" s="168"/>
      <c r="AR413" s="168"/>
      <c r="AS413" s="168"/>
      <c r="AT413" s="168"/>
      <c r="AU413" s="168"/>
      <c r="AV413" s="168"/>
      <c r="AW413" s="168"/>
      <c r="AX413" s="168"/>
      <c r="AY413" s="168"/>
      <c r="AZ413" s="168"/>
    </row>
    <row r="414">
      <c r="A414" s="168"/>
      <c r="B414" s="175" t="str">
        <f>"20 years ("&amp;(Year(today())+20)&amp;")"</f>
        <v>20 years (2045)</v>
      </c>
      <c r="C414" s="192"/>
      <c r="D414" s="219">
        <f>X405</f>
        <v>0</v>
      </c>
      <c r="E414" s="217" t="str">
        <f t="shared" si="61"/>
        <v>#DIV/0!</v>
      </c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  <c r="AB414" s="168"/>
      <c r="AC414" s="168"/>
      <c r="AD414" s="168"/>
      <c r="AE414" s="168"/>
      <c r="AF414" s="168"/>
      <c r="AG414" s="168"/>
      <c r="AH414" s="168"/>
      <c r="AI414" s="168"/>
      <c r="AJ414" s="168"/>
      <c r="AK414" s="168"/>
      <c r="AL414" s="168"/>
      <c r="AM414" s="168"/>
      <c r="AN414" s="168"/>
      <c r="AO414" s="168"/>
      <c r="AP414" s="168"/>
      <c r="AQ414" s="168"/>
      <c r="AR414" s="168"/>
      <c r="AS414" s="168"/>
      <c r="AT414" s="168"/>
      <c r="AU414" s="168"/>
      <c r="AV414" s="168"/>
      <c r="AW414" s="168"/>
      <c r="AX414" s="168"/>
      <c r="AY414" s="168"/>
      <c r="AZ414" s="168"/>
    </row>
    <row r="415">
      <c r="A415" s="168"/>
      <c r="B415" s="168"/>
      <c r="C415" s="192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  <c r="AB415" s="168"/>
      <c r="AC415" s="168"/>
      <c r="AD415" s="168"/>
      <c r="AE415" s="168"/>
      <c r="AF415" s="168"/>
      <c r="AG415" s="168"/>
      <c r="AH415" s="168"/>
      <c r="AI415" s="168"/>
      <c r="AJ415" s="168"/>
      <c r="AK415" s="168"/>
      <c r="AL415" s="168"/>
      <c r="AM415" s="168"/>
      <c r="AN415" s="168"/>
      <c r="AO415" s="168"/>
      <c r="AP415" s="168"/>
      <c r="AQ415" s="168"/>
      <c r="AR415" s="168"/>
      <c r="AS415" s="168"/>
      <c r="AT415" s="168"/>
      <c r="AU415" s="168"/>
      <c r="AV415" s="168"/>
      <c r="AW415" s="168"/>
      <c r="AX415" s="168"/>
      <c r="AY415" s="168"/>
      <c r="AZ415" s="168"/>
    </row>
    <row r="416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  <c r="AB416" s="168"/>
      <c r="AC416" s="168"/>
      <c r="AD416" s="168"/>
      <c r="AE416" s="168"/>
      <c r="AF416" s="168"/>
      <c r="AG416" s="168"/>
      <c r="AH416" s="168"/>
      <c r="AI416" s="168"/>
      <c r="AJ416" s="168"/>
      <c r="AK416" s="168"/>
      <c r="AL416" s="168"/>
      <c r="AM416" s="168"/>
      <c r="AN416" s="168"/>
      <c r="AO416" s="168"/>
      <c r="AP416" s="168"/>
      <c r="AQ416" s="168"/>
      <c r="AR416" s="168"/>
      <c r="AS416" s="168"/>
      <c r="AT416" s="168"/>
      <c r="AU416" s="168"/>
      <c r="AV416" s="168"/>
      <c r="AW416" s="168"/>
      <c r="AX416" s="168"/>
      <c r="AY416" s="168"/>
      <c r="AZ416" s="168"/>
    </row>
    <row r="417">
      <c r="A417" s="252" t="s">
        <v>459</v>
      </c>
      <c r="B417" s="252" t="s">
        <v>460</v>
      </c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  <c r="AB417" s="168"/>
      <c r="AC417" s="168"/>
      <c r="AD417" s="168"/>
      <c r="AE417" s="168"/>
      <c r="AF417" s="168"/>
      <c r="AG417" s="168"/>
      <c r="AH417" s="168"/>
      <c r="AI417" s="168"/>
      <c r="AJ417" s="168"/>
      <c r="AK417" s="168"/>
      <c r="AL417" s="168"/>
      <c r="AM417" s="168"/>
      <c r="AN417" s="168"/>
      <c r="AO417" s="168"/>
      <c r="AP417" s="168"/>
      <c r="AQ417" s="168"/>
      <c r="AR417" s="168"/>
      <c r="AS417" s="168"/>
      <c r="AT417" s="168"/>
      <c r="AU417" s="168"/>
      <c r="AV417" s="168"/>
      <c r="AW417" s="168"/>
      <c r="AX417" s="168"/>
      <c r="AY417" s="168"/>
      <c r="AZ417" s="168"/>
    </row>
    <row r="4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  <c r="AB418" s="168"/>
      <c r="AC418" s="168"/>
      <c r="AD418" s="168"/>
      <c r="AE418" s="168"/>
      <c r="AF418" s="168"/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168"/>
      <c r="AT418" s="168"/>
      <c r="AU418" s="168"/>
      <c r="AV418" s="168"/>
      <c r="AW418" s="168"/>
      <c r="AX418" s="168"/>
      <c r="AY418" s="168"/>
      <c r="AZ418" s="168"/>
    </row>
    <row r="419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  <c r="AB419" s="168"/>
      <c r="AC419" s="168"/>
      <c r="AD419" s="168"/>
      <c r="AE419" s="168"/>
      <c r="AF419" s="168"/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168"/>
      <c r="AT419" s="168"/>
      <c r="AU419" s="168"/>
      <c r="AV419" s="168"/>
      <c r="AW419" s="168"/>
      <c r="AX419" s="168"/>
      <c r="AY419" s="168"/>
      <c r="AZ419" s="168"/>
    </row>
    <row r="420">
      <c r="A420" s="168"/>
      <c r="B420" s="139" t="s">
        <v>280</v>
      </c>
      <c r="C420" s="224" t="s">
        <v>461</v>
      </c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  <c r="AB420" s="168"/>
      <c r="AC420" s="168"/>
      <c r="AD420" s="168"/>
      <c r="AE420" s="168"/>
      <c r="AF420" s="168"/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168"/>
      <c r="AT420" s="168"/>
      <c r="AU420" s="168"/>
      <c r="AV420" s="168"/>
      <c r="AW420" s="168"/>
      <c r="AX420" s="168"/>
      <c r="AY420" s="168"/>
      <c r="AZ420" s="168"/>
    </row>
    <row r="421">
      <c r="A421" s="168"/>
      <c r="B421" s="168"/>
      <c r="C421" s="170" t="s">
        <v>462</v>
      </c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  <c r="AB421" s="168"/>
      <c r="AC421" s="168"/>
      <c r="AD421" s="168"/>
      <c r="AE421" s="168"/>
      <c r="AF421" s="168"/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168"/>
      <c r="AT421" s="168"/>
      <c r="AU421" s="168"/>
      <c r="AV421" s="168"/>
      <c r="AW421" s="168"/>
      <c r="AX421" s="168"/>
      <c r="AY421" s="168"/>
      <c r="AZ421" s="168"/>
    </row>
    <row r="422">
      <c r="A422" s="168"/>
      <c r="B422" s="168"/>
      <c r="C422" s="224" t="s">
        <v>463</v>
      </c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  <c r="AB422" s="168"/>
      <c r="AC422" s="168"/>
      <c r="AD422" s="168"/>
      <c r="AE422" s="168"/>
      <c r="AF422" s="168"/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168"/>
      <c r="AT422" s="168"/>
      <c r="AU422" s="168"/>
      <c r="AV422" s="168"/>
      <c r="AW422" s="168"/>
      <c r="AX422" s="168"/>
      <c r="AY422" s="168"/>
      <c r="AZ422" s="168"/>
    </row>
    <row r="423">
      <c r="A423" s="168"/>
      <c r="B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  <c r="AB423" s="168"/>
      <c r="AC423" s="168"/>
      <c r="AD423" s="168"/>
      <c r="AE423" s="168"/>
      <c r="AF423" s="168"/>
      <c r="AG423" s="168"/>
      <c r="AH423" s="168"/>
      <c r="AI423" s="168"/>
      <c r="AJ423" s="168"/>
      <c r="AK423" s="168"/>
      <c r="AL423" s="168"/>
      <c r="AM423" s="168"/>
      <c r="AN423" s="168"/>
      <c r="AO423" s="168"/>
      <c r="AP423" s="168"/>
      <c r="AQ423" s="168"/>
      <c r="AR423" s="168"/>
      <c r="AS423" s="168"/>
      <c r="AT423" s="168"/>
      <c r="AU423" s="168"/>
      <c r="AV423" s="168"/>
      <c r="AW423" s="168"/>
      <c r="AX423" s="168"/>
      <c r="AY423" s="168"/>
      <c r="AZ423" s="168"/>
    </row>
    <row r="424">
      <c r="A424" s="168"/>
      <c r="B424" s="270"/>
      <c r="C424" s="170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  <c r="AB424" s="168"/>
      <c r="AC424" s="168"/>
      <c r="AD424" s="168"/>
      <c r="AE424" s="168"/>
      <c r="AF424" s="168"/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168"/>
      <c r="AT424" s="168"/>
      <c r="AU424" s="168"/>
      <c r="AV424" s="168"/>
      <c r="AW424" s="168"/>
      <c r="AX424" s="168"/>
      <c r="AY424" s="168"/>
      <c r="AZ424" s="168"/>
    </row>
    <row r="425">
      <c r="A425" s="168"/>
      <c r="B425" s="259" t="s">
        <v>314</v>
      </c>
      <c r="C425" s="173" t="s">
        <v>464</v>
      </c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  <c r="AB425" s="168"/>
      <c r="AC425" s="168"/>
      <c r="AD425" s="168"/>
      <c r="AE425" s="168"/>
      <c r="AF425" s="168"/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168"/>
      <c r="AT425" s="168"/>
      <c r="AU425" s="168"/>
      <c r="AV425" s="168"/>
      <c r="AW425" s="168"/>
      <c r="AX425" s="168"/>
      <c r="AY425" s="168"/>
      <c r="AZ425" s="168"/>
    </row>
    <row r="426">
      <c r="A426" s="168"/>
      <c r="B426" s="259" t="s">
        <v>316</v>
      </c>
      <c r="C426" s="173" t="s">
        <v>319</v>
      </c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  <c r="AB426" s="168"/>
      <c r="AC426" s="168"/>
      <c r="AD426" s="168"/>
      <c r="AE426" s="168"/>
      <c r="AF426" s="168"/>
      <c r="AG426" s="168"/>
      <c r="AH426" s="168"/>
      <c r="AI426" s="168"/>
      <c r="AJ426" s="168"/>
      <c r="AK426" s="168"/>
      <c r="AL426" s="168"/>
      <c r="AM426" s="168"/>
      <c r="AN426" s="168"/>
      <c r="AO426" s="168"/>
      <c r="AP426" s="168"/>
      <c r="AQ426" s="168"/>
      <c r="AR426" s="168"/>
      <c r="AS426" s="168"/>
      <c r="AT426" s="168"/>
      <c r="AU426" s="168"/>
      <c r="AV426" s="168"/>
      <c r="AW426" s="168"/>
      <c r="AX426" s="168"/>
      <c r="AY426" s="168"/>
      <c r="AZ426" s="168"/>
    </row>
    <row r="427">
      <c r="A427" s="168"/>
      <c r="B427" s="259" t="s">
        <v>318</v>
      </c>
      <c r="C427" s="173" t="s">
        <v>319</v>
      </c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  <c r="AB427" s="168"/>
      <c r="AC427" s="168"/>
      <c r="AD427" s="168"/>
      <c r="AE427" s="168"/>
      <c r="AF427" s="168"/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168"/>
      <c r="AT427" s="168"/>
      <c r="AU427" s="168"/>
      <c r="AV427" s="168"/>
      <c r="AW427" s="168"/>
      <c r="AX427" s="168"/>
      <c r="AY427" s="168"/>
      <c r="AZ427" s="168"/>
    </row>
    <row r="42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  <c r="AB428" s="168"/>
      <c r="AC428" s="168"/>
      <c r="AD428" s="168"/>
      <c r="AE428" s="168"/>
      <c r="AF428" s="168"/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168"/>
      <c r="AT428" s="168"/>
      <c r="AU428" s="168"/>
      <c r="AV428" s="168"/>
      <c r="AW428" s="168"/>
      <c r="AX428" s="168"/>
      <c r="AY428" s="168"/>
      <c r="AZ428" s="168"/>
    </row>
    <row r="429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  <c r="AB429" s="168"/>
      <c r="AC429" s="168"/>
      <c r="AD429" s="168"/>
      <c r="AE429" s="168"/>
      <c r="AF429" s="168"/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168"/>
      <c r="AT429" s="168"/>
      <c r="AU429" s="168"/>
      <c r="AV429" s="168"/>
      <c r="AW429" s="168"/>
      <c r="AX429" s="168"/>
      <c r="AY429" s="168"/>
      <c r="AZ429" s="168"/>
    </row>
    <row r="430">
      <c r="A430" s="168"/>
      <c r="B430" s="260" t="s">
        <v>203</v>
      </c>
      <c r="C430" s="260" t="s">
        <v>440</v>
      </c>
      <c r="D430" s="85" t="s">
        <v>224</v>
      </c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  <c r="AB430" s="168"/>
      <c r="AC430" s="168"/>
      <c r="AD430" s="168"/>
      <c r="AE430" s="168"/>
      <c r="AF430" s="168"/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168"/>
      <c r="AT430" s="168"/>
      <c r="AU430" s="168"/>
      <c r="AV430" s="168"/>
      <c r="AW430" s="168"/>
      <c r="AX430" s="168"/>
      <c r="AY430" s="168"/>
      <c r="AZ430" s="168"/>
    </row>
    <row r="431">
      <c r="A431" s="168"/>
      <c r="B431" s="131" t="s">
        <v>465</v>
      </c>
      <c r="C431" s="286">
        <v>0.0</v>
      </c>
      <c r="D431" s="225" t="s">
        <v>466</v>
      </c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  <c r="AB431" s="168"/>
      <c r="AC431" s="168"/>
      <c r="AD431" s="168"/>
      <c r="AE431" s="168"/>
      <c r="AF431" s="168"/>
      <c r="AG431" s="168"/>
      <c r="AH431" s="168"/>
      <c r="AI431" s="168"/>
      <c r="AJ431" s="168"/>
      <c r="AK431" s="168"/>
      <c r="AL431" s="168"/>
      <c r="AM431" s="168"/>
      <c r="AN431" s="168"/>
      <c r="AO431" s="168"/>
      <c r="AP431" s="168"/>
      <c r="AQ431" s="168"/>
      <c r="AR431" s="168"/>
      <c r="AS431" s="168"/>
      <c r="AT431" s="168"/>
      <c r="AU431" s="168"/>
      <c r="AV431" s="168"/>
      <c r="AW431" s="168"/>
      <c r="AX431" s="168"/>
      <c r="AY431" s="168"/>
      <c r="AZ431" s="168"/>
    </row>
    <row r="432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  <c r="AB432" s="168"/>
      <c r="AC432" s="168"/>
      <c r="AD432" s="168"/>
      <c r="AE432" s="168"/>
      <c r="AF432" s="168"/>
      <c r="AG432" s="168"/>
      <c r="AH432" s="168"/>
      <c r="AI432" s="168"/>
      <c r="AJ432" s="168"/>
      <c r="AK432" s="168"/>
      <c r="AL432" s="168"/>
      <c r="AM432" s="168"/>
      <c r="AN432" s="168"/>
      <c r="AO432" s="168"/>
      <c r="AP432" s="168"/>
      <c r="AQ432" s="168"/>
      <c r="AR432" s="168"/>
      <c r="AS432" s="168"/>
      <c r="AT432" s="168"/>
      <c r="AU432" s="168"/>
      <c r="AV432" s="168"/>
      <c r="AW432" s="168"/>
      <c r="AX432" s="168"/>
      <c r="AY432" s="168"/>
      <c r="AZ432" s="168"/>
    </row>
    <row r="433">
      <c r="A433" s="168"/>
      <c r="B433" s="168"/>
      <c r="C433" s="287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  <c r="AB433" s="168"/>
      <c r="AC433" s="168"/>
      <c r="AD433" s="168"/>
      <c r="AE433" s="168"/>
      <c r="AF433" s="168"/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168"/>
      <c r="AT433" s="168"/>
      <c r="AU433" s="168"/>
      <c r="AV433" s="168"/>
      <c r="AW433" s="168"/>
      <c r="AX433" s="168"/>
      <c r="AY433" s="168"/>
      <c r="AZ433" s="168"/>
    </row>
    <row r="434">
      <c r="A434" s="168"/>
      <c r="B434" s="139" t="s">
        <v>336</v>
      </c>
      <c r="C434" s="192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  <c r="AB434" s="168"/>
      <c r="AC434" s="168"/>
      <c r="AD434" s="168"/>
      <c r="AE434" s="168"/>
      <c r="AF434" s="168"/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168"/>
      <c r="AT434" s="168"/>
      <c r="AU434" s="168"/>
      <c r="AV434" s="168"/>
      <c r="AW434" s="168"/>
      <c r="AX434" s="168"/>
      <c r="AY434" s="168"/>
      <c r="AZ434" s="168"/>
    </row>
    <row r="435">
      <c r="A435" s="168"/>
      <c r="B435" s="168"/>
      <c r="C435" s="287"/>
      <c r="D435" s="85" t="s">
        <v>285</v>
      </c>
      <c r="E435" s="193">
        <v>46143.0</v>
      </c>
      <c r="F435" s="193">
        <v>46508.0</v>
      </c>
      <c r="G435" s="193">
        <v>46874.0</v>
      </c>
      <c r="H435" s="193">
        <v>47239.0</v>
      </c>
      <c r="I435" s="193">
        <v>47604.0</v>
      </c>
      <c r="J435" s="193">
        <v>47969.0</v>
      </c>
      <c r="K435" s="193">
        <v>48335.0</v>
      </c>
      <c r="L435" s="193">
        <v>48700.0</v>
      </c>
      <c r="M435" s="193">
        <v>49065.0</v>
      </c>
      <c r="N435" s="193">
        <v>49430.0</v>
      </c>
      <c r="O435" s="193">
        <v>49796.0</v>
      </c>
      <c r="P435" s="193">
        <v>50161.0</v>
      </c>
      <c r="Q435" s="193">
        <v>50526.0</v>
      </c>
      <c r="R435" s="193">
        <v>50891.0</v>
      </c>
      <c r="S435" s="193">
        <v>51257.0</v>
      </c>
      <c r="T435" s="193">
        <v>51622.0</v>
      </c>
      <c r="U435" s="193">
        <v>51987.0</v>
      </c>
      <c r="V435" s="193">
        <v>52352.0</v>
      </c>
      <c r="W435" s="193">
        <v>52718.0</v>
      </c>
      <c r="X435" s="193">
        <v>53083.0</v>
      </c>
      <c r="Y435" s="193">
        <v>53448.0</v>
      </c>
      <c r="Z435" s="193">
        <v>53813.0</v>
      </c>
      <c r="AA435" s="193">
        <v>54179.0</v>
      </c>
      <c r="AB435" s="193">
        <v>54544.0</v>
      </c>
      <c r="AC435" s="193">
        <v>54909.0</v>
      </c>
      <c r="AD435" s="193">
        <v>55274.0</v>
      </c>
      <c r="AE435" s="193">
        <v>55640.0</v>
      </c>
      <c r="AF435" s="193">
        <v>56005.0</v>
      </c>
      <c r="AG435" s="193">
        <v>56370.0</v>
      </c>
      <c r="AH435" s="193">
        <v>56735.0</v>
      </c>
      <c r="AI435" s="193">
        <v>57101.0</v>
      </c>
      <c r="AJ435" s="193">
        <v>57466.0</v>
      </c>
      <c r="AK435" s="193">
        <v>57831.0</v>
      </c>
      <c r="AL435" s="193">
        <v>58196.0</v>
      </c>
      <c r="AM435" s="193">
        <v>58562.0</v>
      </c>
      <c r="AN435" s="193">
        <v>58927.0</v>
      </c>
      <c r="AO435" s="193">
        <v>59292.0</v>
      </c>
      <c r="AP435" s="193">
        <v>59657.0</v>
      </c>
      <c r="AQ435" s="193">
        <v>60023.0</v>
      </c>
      <c r="AR435" s="193">
        <v>60388.0</v>
      </c>
      <c r="AS435" s="193">
        <v>60753.0</v>
      </c>
      <c r="AT435" s="193">
        <v>61118.0</v>
      </c>
      <c r="AU435" s="193">
        <v>61484.0</v>
      </c>
      <c r="AV435" s="193">
        <v>61849.0</v>
      </c>
      <c r="AW435" s="193">
        <v>62214.0</v>
      </c>
      <c r="AX435" s="193">
        <v>62579.0</v>
      </c>
      <c r="AY435" s="193">
        <v>62945.0</v>
      </c>
      <c r="AZ435" s="193">
        <v>63310.0</v>
      </c>
    </row>
    <row r="436">
      <c r="A436" s="168"/>
      <c r="B436" s="238" t="s">
        <v>467</v>
      </c>
      <c r="C436" s="287"/>
      <c r="D436" s="286">
        <v>0.0</v>
      </c>
      <c r="E436" s="286">
        <v>0.0</v>
      </c>
      <c r="F436" s="286">
        <v>0.0</v>
      </c>
      <c r="G436" s="286">
        <v>0.0</v>
      </c>
      <c r="H436" s="286">
        <v>0.0</v>
      </c>
      <c r="I436" s="286">
        <v>0.0</v>
      </c>
      <c r="J436" s="286">
        <v>0.0</v>
      </c>
      <c r="K436" s="286">
        <v>0.0</v>
      </c>
      <c r="L436" s="286">
        <v>0.0</v>
      </c>
      <c r="M436" s="286">
        <v>0.0</v>
      </c>
      <c r="N436" s="286">
        <v>0.0</v>
      </c>
      <c r="O436" s="286">
        <v>0.0</v>
      </c>
      <c r="P436" s="286">
        <v>0.0</v>
      </c>
      <c r="Q436" s="286">
        <v>0.0</v>
      </c>
      <c r="R436" s="286">
        <v>0.0</v>
      </c>
      <c r="S436" s="286">
        <v>0.0</v>
      </c>
      <c r="T436" s="286">
        <v>0.0</v>
      </c>
      <c r="U436" s="286">
        <v>0.0</v>
      </c>
      <c r="V436" s="286">
        <v>0.0</v>
      </c>
      <c r="W436" s="286">
        <v>0.0</v>
      </c>
      <c r="X436" s="286">
        <v>0.0</v>
      </c>
      <c r="Y436" s="286">
        <v>0.0</v>
      </c>
      <c r="Z436" s="286">
        <v>0.0</v>
      </c>
      <c r="AA436" s="286">
        <v>0.0</v>
      </c>
      <c r="AB436" s="286">
        <v>0.0</v>
      </c>
      <c r="AC436" s="286">
        <v>0.0</v>
      </c>
      <c r="AD436" s="286">
        <v>0.0</v>
      </c>
      <c r="AE436" s="286">
        <v>0.0</v>
      </c>
      <c r="AF436" s="286">
        <v>0.0</v>
      </c>
      <c r="AG436" s="286">
        <v>0.0</v>
      </c>
      <c r="AH436" s="286">
        <v>0.0</v>
      </c>
      <c r="AI436" s="286">
        <v>0.0</v>
      </c>
      <c r="AJ436" s="286">
        <v>0.0</v>
      </c>
      <c r="AK436" s="286">
        <v>0.0</v>
      </c>
      <c r="AL436" s="286">
        <v>0.0</v>
      </c>
      <c r="AM436" s="286">
        <v>0.0</v>
      </c>
      <c r="AN436" s="286">
        <v>0.0</v>
      </c>
      <c r="AO436" s="286">
        <v>0.0</v>
      </c>
      <c r="AP436" s="286">
        <v>0.0</v>
      </c>
      <c r="AQ436" s="286">
        <v>0.0</v>
      </c>
      <c r="AR436" s="286">
        <v>0.0</v>
      </c>
      <c r="AS436" s="286">
        <v>0.0</v>
      </c>
      <c r="AT436" s="286">
        <v>0.0</v>
      </c>
      <c r="AU436" s="286">
        <v>0.0</v>
      </c>
      <c r="AV436" s="286">
        <v>0.0</v>
      </c>
      <c r="AW436" s="286">
        <v>0.0</v>
      </c>
      <c r="AX436" s="286">
        <v>0.0</v>
      </c>
      <c r="AY436" s="286">
        <v>0.0</v>
      </c>
      <c r="AZ436" s="286">
        <v>0.0</v>
      </c>
    </row>
    <row r="437">
      <c r="A437" s="168"/>
      <c r="B437" s="194" t="s">
        <v>468</v>
      </c>
      <c r="C437" s="287"/>
      <c r="D437" s="196">
        <f>D11</f>
        <v>0</v>
      </c>
      <c r="E437" s="196">
        <f>E445*msci_ann_div</f>
        <v>1619.354132</v>
      </c>
      <c r="F437" s="196">
        <f>F445*msci_ann_div</f>
        <v>1735.461824</v>
      </c>
      <c r="G437" s="196">
        <f>G445*msci_ann_div</f>
        <v>1859.894437</v>
      </c>
      <c r="H437" s="196">
        <f>H445*msci_ann_div</f>
        <v>1993.248868</v>
      </c>
      <c r="I437" s="196">
        <f>I445*msci_ann_div</f>
        <v>2136.164811</v>
      </c>
      <c r="J437" s="196">
        <f>J445*msci_ann_div</f>
        <v>2289.327828</v>
      </c>
      <c r="K437" s="196">
        <f>K445*msci_ann_div</f>
        <v>2453.472634</v>
      </c>
      <c r="L437" s="196">
        <f>L445*msci_ann_div</f>
        <v>2629.386622</v>
      </c>
      <c r="M437" s="196">
        <f>M445*msci_ann_div</f>
        <v>2817.913642</v>
      </c>
      <c r="N437" s="196">
        <f>N445*msci_ann_div</f>
        <v>3019.95805</v>
      </c>
      <c r="O437" s="196">
        <f>O445*msci_ann_div</f>
        <v>3236.489043</v>
      </c>
      <c r="P437" s="196">
        <f>P445*msci_ann_div</f>
        <v>3468.545307</v>
      </c>
      <c r="Q437" s="196">
        <f>Q445*msci_ann_div</f>
        <v>3717.240006</v>
      </c>
      <c r="R437" s="196">
        <f>R445*msci_ann_div</f>
        <v>3983.766114</v>
      </c>
      <c r="S437" s="196">
        <f>S445*msci_ann_div</f>
        <v>4269.402144</v>
      </c>
      <c r="T437" s="196">
        <f>T445*msci_ann_div</f>
        <v>4575.518278</v>
      </c>
      <c r="U437" s="196">
        <f>U445*msci_ann_div</f>
        <v>4903.582939</v>
      </c>
      <c r="V437" s="196">
        <f>V445*msci_ann_div</f>
        <v>5255.169835</v>
      </c>
      <c r="W437" s="196">
        <f>W445*msci_ann_div</f>
        <v>5631.965513</v>
      </c>
      <c r="X437" s="196">
        <f>X445*msci_ann_div</f>
        <v>6035.77744</v>
      </c>
      <c r="Y437" s="196">
        <f>Y445*msci_ann_div</f>
        <v>6468.542682</v>
      </c>
      <c r="Z437" s="196">
        <f>Z445*msci_ann_div</f>
        <v>6932.337193</v>
      </c>
      <c r="AA437" s="196">
        <f>AA445*msci_ann_div</f>
        <v>7429.385769</v>
      </c>
      <c r="AB437" s="196">
        <f>AB445*msci_ann_div</f>
        <v>7962.072729</v>
      </c>
      <c r="AC437" s="196">
        <f>AC445*msci_ann_div</f>
        <v>8532.953344</v>
      </c>
      <c r="AD437" s="196">
        <f>AD445*msci_ann_div</f>
        <v>9144.766098</v>
      </c>
      <c r="AE437" s="196">
        <f>AE445*msci_ann_div</f>
        <v>9800.445828</v>
      </c>
      <c r="AF437" s="196">
        <f>AF445*msci_ann_div</f>
        <v>10503.13779</v>
      </c>
      <c r="AG437" s="196">
        <f>AG445*msci_ann_div</f>
        <v>11256.21277</v>
      </c>
      <c r="AH437" s="196">
        <f>AH445*msci_ann_div</f>
        <v>12063.28323</v>
      </c>
      <c r="AI437" s="196">
        <f>AI445*msci_ann_div</f>
        <v>12928.22064</v>
      </c>
      <c r="AJ437" s="196">
        <f>AJ445*msci_ann_div</f>
        <v>13855.17406</v>
      </c>
      <c r="AK437" s="196">
        <f>AK445*msci_ann_div</f>
        <v>14848.59004</v>
      </c>
      <c r="AL437" s="196">
        <f>AL445*msci_ann_div</f>
        <v>15913.23394</v>
      </c>
      <c r="AM437" s="196">
        <f>AM445*msci_ann_div</f>
        <v>17054.21282</v>
      </c>
      <c r="AN437" s="196">
        <f>AN445*msci_ann_div</f>
        <v>18276.99987</v>
      </c>
      <c r="AO437" s="196">
        <f>AO445*msci_ann_div</f>
        <v>19587.46077</v>
      </c>
      <c r="AP437" s="196">
        <f>AP445*msci_ann_div</f>
        <v>20991.8817</v>
      </c>
      <c r="AQ437" s="196">
        <f>AQ445*msci_ann_div</f>
        <v>22496.99962</v>
      </c>
      <c r="AR437" s="196">
        <f>AR445*msci_ann_div</f>
        <v>24110.03449</v>
      </c>
      <c r="AS437" s="196">
        <f>AS445*msci_ann_div</f>
        <v>25838.72397</v>
      </c>
      <c r="AT437" s="196">
        <f>AT445*msci_ann_div</f>
        <v>27691.36047</v>
      </c>
      <c r="AU437" s="196">
        <f>AU445*msci_ann_div</f>
        <v>29676.83102</v>
      </c>
      <c r="AV437" s="196">
        <f>AV445*msci_ann_div</f>
        <v>31804.6598</v>
      </c>
      <c r="AW437" s="196">
        <f>AW445*msci_ann_div</f>
        <v>34085.05391</v>
      </c>
      <c r="AX437" s="196">
        <f>AX445*msci_ann_div</f>
        <v>36528.95228</v>
      </c>
      <c r="AY437" s="196">
        <f>AY445*msci_ann_div</f>
        <v>39148.07816</v>
      </c>
      <c r="AZ437" s="196">
        <f>AZ445*msci_ann_div</f>
        <v>41954.99536</v>
      </c>
    </row>
    <row r="438">
      <c r="A438" s="168"/>
      <c r="B438" s="197" t="s">
        <v>469</v>
      </c>
      <c r="C438" s="192"/>
      <c r="D438" s="199">
        <f>SUM($D436:D436)*msci_ann_div</f>
        <v>0</v>
      </c>
      <c r="E438" s="199">
        <f>SUM($D436:E436)*msci_ann_div</f>
        <v>0</v>
      </c>
      <c r="F438" s="199">
        <f>SUM($D436:F436)*msci_ann_div</f>
        <v>0</v>
      </c>
      <c r="G438" s="199">
        <f>SUM($D436:G436)*msci_ann_div</f>
        <v>0</v>
      </c>
      <c r="H438" s="199">
        <f>SUM($D436:H436)*msci_ann_div</f>
        <v>0</v>
      </c>
      <c r="I438" s="199">
        <f>SUM($D436:I436)*msci_ann_div</f>
        <v>0</v>
      </c>
      <c r="J438" s="199">
        <f>SUM($D436:J436)*msci_ann_div</f>
        <v>0</v>
      </c>
      <c r="K438" s="199">
        <f>SUM($D436:K436)*msci_ann_div</f>
        <v>0</v>
      </c>
      <c r="L438" s="199">
        <f>SUM($D436:L436)*msci_ann_div</f>
        <v>0</v>
      </c>
      <c r="M438" s="199">
        <f>SUM($D436:M436)*msci_ann_div</f>
        <v>0</v>
      </c>
      <c r="N438" s="199">
        <f>SUM($D436:N436)*msci_ann_div</f>
        <v>0</v>
      </c>
      <c r="O438" s="199">
        <f>SUM($D436:O436)*msci_ann_div</f>
        <v>0</v>
      </c>
      <c r="P438" s="199">
        <f>SUM($D436:P436)*msci_ann_div</f>
        <v>0</v>
      </c>
      <c r="Q438" s="199">
        <f>SUM($D436:Q436)*msci_ann_div</f>
        <v>0</v>
      </c>
      <c r="R438" s="199">
        <f>SUM($D436:R436)*msci_ann_div</f>
        <v>0</v>
      </c>
      <c r="S438" s="199">
        <f>SUM($D436:S436)*msci_ann_div</f>
        <v>0</v>
      </c>
      <c r="T438" s="199">
        <f>SUM($D436:T436)*msci_ann_div</f>
        <v>0</v>
      </c>
      <c r="U438" s="199">
        <f>SUM($D436:U436)*msci_ann_div</f>
        <v>0</v>
      </c>
      <c r="V438" s="199">
        <f>SUM($D436:V436)*msci_ann_div</f>
        <v>0</v>
      </c>
      <c r="W438" s="199">
        <f>SUM($D436:W436)*msci_ann_div</f>
        <v>0</v>
      </c>
      <c r="X438" s="199">
        <f>SUM($D436:X436)*msci_ann_div</f>
        <v>0</v>
      </c>
      <c r="Y438" s="199">
        <f>SUM($D436:Y436)*msci_ann_div</f>
        <v>0</v>
      </c>
      <c r="Z438" s="199">
        <f>SUM($D436:Z436)*msci_ann_div</f>
        <v>0</v>
      </c>
      <c r="AA438" s="199">
        <f>SUM($D436:AA436)*msci_ann_div</f>
        <v>0</v>
      </c>
      <c r="AB438" s="199">
        <f>SUM($D436:AB436)*msci_ann_div</f>
        <v>0</v>
      </c>
      <c r="AC438" s="199">
        <f>SUM($D436:AC436)*msci_ann_div</f>
        <v>0</v>
      </c>
      <c r="AD438" s="199">
        <f>SUM($D436:AD436)*msci_ann_div</f>
        <v>0</v>
      </c>
      <c r="AE438" s="199">
        <f>SUM($D436:AE436)*msci_ann_div</f>
        <v>0</v>
      </c>
      <c r="AF438" s="199">
        <f>SUM($D436:AF436)*msci_ann_div</f>
        <v>0</v>
      </c>
      <c r="AG438" s="199">
        <f>SUM($D436:AG436)*msci_ann_div</f>
        <v>0</v>
      </c>
      <c r="AH438" s="199">
        <f>SUM($D436:AH436)*msci_ann_div</f>
        <v>0</v>
      </c>
      <c r="AI438" s="199">
        <f>SUM($D436:AI436)*msci_ann_div</f>
        <v>0</v>
      </c>
      <c r="AJ438" s="199">
        <f>SUM($D436:AJ436)*msci_ann_div</f>
        <v>0</v>
      </c>
      <c r="AK438" s="199">
        <f>SUM($D436:AK436)*msci_ann_div</f>
        <v>0</v>
      </c>
      <c r="AL438" s="199">
        <f>SUM($D436:AL436)*msci_ann_div</f>
        <v>0</v>
      </c>
      <c r="AM438" s="199">
        <f>SUM($D436:AM436)*msci_ann_div</f>
        <v>0</v>
      </c>
      <c r="AN438" s="199">
        <f>SUM($D436:AN436)*msci_ann_div</f>
        <v>0</v>
      </c>
      <c r="AO438" s="199">
        <f>SUM($D436:AO436)*msci_ann_div</f>
        <v>0</v>
      </c>
      <c r="AP438" s="199">
        <f>SUM($D436:AP436)*msci_ann_div</f>
        <v>0</v>
      </c>
      <c r="AQ438" s="199">
        <f>SUM($D436:AQ436)*msci_ann_div</f>
        <v>0</v>
      </c>
      <c r="AR438" s="199">
        <f>SUM($D436:AR436)*msci_ann_div</f>
        <v>0</v>
      </c>
      <c r="AS438" s="199">
        <f>SUM($D436:AS436)*msci_ann_div</f>
        <v>0</v>
      </c>
      <c r="AT438" s="199">
        <f>SUM($D436:AT436)*msci_ann_div</f>
        <v>0</v>
      </c>
      <c r="AU438" s="199">
        <f>SUM($D436:AU436)*msci_ann_div</f>
        <v>0</v>
      </c>
      <c r="AV438" s="199">
        <f>SUM($D436:AV436)*msci_ann_div</f>
        <v>0</v>
      </c>
      <c r="AW438" s="199">
        <f>SUM($D436:AW436)*msci_ann_div</f>
        <v>0</v>
      </c>
      <c r="AX438" s="199">
        <f>SUM($D436:AX436)*msci_ann_div</f>
        <v>0</v>
      </c>
      <c r="AY438" s="199">
        <f>SUM($D436:AY436)*msci_ann_div</f>
        <v>0</v>
      </c>
      <c r="AZ438" s="199">
        <f>SUM($D436:AZ436)*msci_ann_div</f>
        <v>0</v>
      </c>
    </row>
    <row r="439">
      <c r="A439" s="168"/>
      <c r="B439" s="168"/>
      <c r="C439" s="192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  <c r="AB439" s="168"/>
      <c r="AC439" s="168"/>
      <c r="AD439" s="168"/>
      <c r="AE439" s="168"/>
      <c r="AF439" s="168"/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168"/>
      <c r="AT439" s="168"/>
      <c r="AU439" s="168"/>
      <c r="AV439" s="168"/>
      <c r="AW439" s="168"/>
      <c r="AX439" s="168"/>
      <c r="AY439" s="168"/>
      <c r="AZ439" s="168"/>
    </row>
    <row r="440">
      <c r="A440" s="168"/>
      <c r="B440" s="168"/>
      <c r="C440" s="192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  <c r="AB440" s="168"/>
      <c r="AC440" s="168"/>
      <c r="AD440" s="168"/>
      <c r="AE440" s="168"/>
      <c r="AF440" s="168"/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168"/>
      <c r="AT440" s="168"/>
      <c r="AU440" s="168"/>
      <c r="AV440" s="168"/>
      <c r="AW440" s="168"/>
      <c r="AX440" s="168"/>
      <c r="AY440" s="168"/>
      <c r="AZ440" s="168"/>
    </row>
    <row r="4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  <c r="AB441" s="168"/>
      <c r="AC441" s="168"/>
      <c r="AD441" s="168"/>
      <c r="AE441" s="168"/>
      <c r="AF441" s="168"/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168"/>
      <c r="AT441" s="168"/>
      <c r="AU441" s="168"/>
      <c r="AV441" s="168"/>
      <c r="AW441" s="168"/>
      <c r="AX441" s="168"/>
      <c r="AY441" s="168"/>
      <c r="AZ441" s="168"/>
    </row>
    <row r="442">
      <c r="A442" s="168"/>
      <c r="B442" s="126" t="s">
        <v>340</v>
      </c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  <c r="AB442" s="168"/>
      <c r="AC442" s="168"/>
      <c r="AD442" s="168"/>
      <c r="AE442" s="168"/>
      <c r="AF442" s="168"/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168"/>
      <c r="AT442" s="168"/>
      <c r="AU442" s="168"/>
      <c r="AV442" s="168"/>
      <c r="AW442" s="168"/>
      <c r="AX442" s="168"/>
      <c r="AY442" s="168"/>
      <c r="AZ442" s="168"/>
    </row>
    <row r="443">
      <c r="A443" s="168"/>
      <c r="B443" s="168"/>
      <c r="C443" s="168"/>
      <c r="D443" s="85" t="s">
        <v>285</v>
      </c>
      <c r="E443" s="193">
        <v>46143.0</v>
      </c>
      <c r="F443" s="193">
        <v>46508.0</v>
      </c>
      <c r="G443" s="193">
        <v>46874.0</v>
      </c>
      <c r="H443" s="193">
        <v>47239.0</v>
      </c>
      <c r="I443" s="193">
        <v>47604.0</v>
      </c>
      <c r="J443" s="193">
        <v>47969.0</v>
      </c>
      <c r="K443" s="193">
        <v>48335.0</v>
      </c>
      <c r="L443" s="193">
        <v>48700.0</v>
      </c>
      <c r="M443" s="193">
        <v>49065.0</v>
      </c>
      <c r="N443" s="193">
        <v>49430.0</v>
      </c>
      <c r="O443" s="193">
        <v>49796.0</v>
      </c>
      <c r="P443" s="193">
        <v>50161.0</v>
      </c>
      <c r="Q443" s="193">
        <v>50526.0</v>
      </c>
      <c r="R443" s="193">
        <v>50891.0</v>
      </c>
      <c r="S443" s="193">
        <v>51257.0</v>
      </c>
      <c r="T443" s="193">
        <v>51622.0</v>
      </c>
      <c r="U443" s="193">
        <v>51987.0</v>
      </c>
      <c r="V443" s="193">
        <v>52352.0</v>
      </c>
      <c r="W443" s="193">
        <v>52718.0</v>
      </c>
      <c r="X443" s="193">
        <v>53083.0</v>
      </c>
      <c r="Y443" s="193">
        <v>53448.0</v>
      </c>
      <c r="Z443" s="193">
        <v>53813.0</v>
      </c>
      <c r="AA443" s="193">
        <v>54179.0</v>
      </c>
      <c r="AB443" s="193">
        <v>54544.0</v>
      </c>
      <c r="AC443" s="193">
        <v>54909.0</v>
      </c>
      <c r="AD443" s="193">
        <v>55274.0</v>
      </c>
      <c r="AE443" s="193">
        <v>55640.0</v>
      </c>
      <c r="AF443" s="193">
        <v>56005.0</v>
      </c>
      <c r="AG443" s="193">
        <v>56370.0</v>
      </c>
      <c r="AH443" s="193">
        <v>56735.0</v>
      </c>
      <c r="AI443" s="193">
        <v>57101.0</v>
      </c>
      <c r="AJ443" s="193">
        <v>57466.0</v>
      </c>
      <c r="AK443" s="193">
        <v>57831.0</v>
      </c>
      <c r="AL443" s="193">
        <v>58196.0</v>
      </c>
      <c r="AM443" s="193">
        <v>58562.0</v>
      </c>
      <c r="AN443" s="193">
        <v>58927.0</v>
      </c>
      <c r="AO443" s="193">
        <v>59292.0</v>
      </c>
      <c r="AP443" s="193">
        <v>59657.0</v>
      </c>
      <c r="AQ443" s="193">
        <v>60023.0</v>
      </c>
      <c r="AR443" s="193">
        <v>60388.0</v>
      </c>
      <c r="AS443" s="193">
        <v>60753.0</v>
      </c>
      <c r="AT443" s="193">
        <v>61118.0</v>
      </c>
      <c r="AU443" s="193">
        <v>61484.0</v>
      </c>
      <c r="AV443" s="193">
        <v>61849.0</v>
      </c>
      <c r="AW443" s="193">
        <v>62214.0</v>
      </c>
      <c r="AX443" s="193">
        <v>62579.0</v>
      </c>
      <c r="AY443" s="193">
        <v>62945.0</v>
      </c>
      <c r="AZ443" s="193">
        <v>63310.0</v>
      </c>
    </row>
    <row r="444">
      <c r="A444" s="168"/>
      <c r="B444" s="126" t="s">
        <v>470</v>
      </c>
      <c r="C444" s="168"/>
      <c r="D444" s="196">
        <f>D436</f>
        <v>0</v>
      </c>
      <c r="E444" s="196">
        <f>D444*(1+msci_ann_gr)+E436</f>
        <v>0</v>
      </c>
      <c r="F444" s="196">
        <f>E444*(1+msci_ann_gr)+F436</f>
        <v>0</v>
      </c>
      <c r="G444" s="196">
        <f>F444*(1+msci_ann_gr)+G436</f>
        <v>0</v>
      </c>
      <c r="H444" s="196">
        <f>G444*(1+msci_ann_gr)+H436</f>
        <v>0</v>
      </c>
      <c r="I444" s="196">
        <f>H444*(1+msci_ann_gr)+I436</f>
        <v>0</v>
      </c>
      <c r="J444" s="196">
        <f>I444*(1+msci_ann_gr)+J436</f>
        <v>0</v>
      </c>
      <c r="K444" s="196">
        <f>J444*(1+msci_ann_gr)+K436</f>
        <v>0</v>
      </c>
      <c r="L444" s="196">
        <f>K444*(1+msci_ann_gr)+L436</f>
        <v>0</v>
      </c>
      <c r="M444" s="196">
        <f>L444*(1+msci_ann_gr)+M436</f>
        <v>0</v>
      </c>
      <c r="N444" s="196">
        <f>M444*(1+msci_ann_gr)+N436</f>
        <v>0</v>
      </c>
      <c r="O444" s="196">
        <f>N444*(1+msci_ann_gr)+O436</f>
        <v>0</v>
      </c>
      <c r="P444" s="196">
        <f>O444*(1+msci_ann_gr)+P436</f>
        <v>0</v>
      </c>
      <c r="Q444" s="196">
        <f>P444*(1+msci_ann_gr)+Q436</f>
        <v>0</v>
      </c>
      <c r="R444" s="196">
        <f>Q444*(1+msci_ann_gr)+R436</f>
        <v>0</v>
      </c>
      <c r="S444" s="196">
        <f>R444*(1+msci_ann_gr)+S436</f>
        <v>0</v>
      </c>
      <c r="T444" s="196">
        <f>S444*(1+msci_ann_gr)+T436</f>
        <v>0</v>
      </c>
      <c r="U444" s="196">
        <f>T444*(1+msci_ann_gr)+U436</f>
        <v>0</v>
      </c>
      <c r="V444" s="196">
        <f>U444*(1+msci_ann_gr)+V436</f>
        <v>0</v>
      </c>
      <c r="W444" s="196">
        <f>V444*(1+msci_ann_gr)+W436</f>
        <v>0</v>
      </c>
      <c r="X444" s="196">
        <f>W444*(1+msci_ann_gr)+X436</f>
        <v>0</v>
      </c>
      <c r="Y444" s="196">
        <f>X444*(1+msci_ann_gr)+Y436</f>
        <v>0</v>
      </c>
      <c r="Z444" s="196">
        <f>Y444*(1+msci_ann_gr)+Z436</f>
        <v>0</v>
      </c>
      <c r="AA444" s="196">
        <f>Z444*(1+msci_ann_gr)+AA436</f>
        <v>0</v>
      </c>
      <c r="AB444" s="196">
        <f>AA444*(1+msci_ann_gr)+AB436</f>
        <v>0</v>
      </c>
      <c r="AC444" s="196">
        <f>AB444*(1+msci_ann_gr)+AC436</f>
        <v>0</v>
      </c>
      <c r="AD444" s="196">
        <f>AC444*(1+msci_ann_gr)+AD436</f>
        <v>0</v>
      </c>
      <c r="AE444" s="196">
        <f>AD444*(1+msci_ann_gr)+AE436</f>
        <v>0</v>
      </c>
      <c r="AF444" s="196">
        <f>AE444*(1+msci_ann_gr)+AF436</f>
        <v>0</v>
      </c>
      <c r="AG444" s="196">
        <f>AF444*(1+msci_ann_gr)+AG436</f>
        <v>0</v>
      </c>
      <c r="AH444" s="196">
        <f>AG444*(1+msci_ann_gr)+AH436</f>
        <v>0</v>
      </c>
      <c r="AI444" s="196">
        <f>AH444*(1+msci_ann_gr)+AI436</f>
        <v>0</v>
      </c>
      <c r="AJ444" s="196">
        <f>AI444*(1+msci_ann_gr)+AJ436</f>
        <v>0</v>
      </c>
      <c r="AK444" s="196">
        <f>AJ444*(1+msci_ann_gr)+AK436</f>
        <v>0</v>
      </c>
      <c r="AL444" s="196">
        <f>AK444*(1+msci_ann_gr)+AL436</f>
        <v>0</v>
      </c>
      <c r="AM444" s="196">
        <f>AL444*(1+msci_ann_gr)+AM436</f>
        <v>0</v>
      </c>
      <c r="AN444" s="196">
        <f>AM444*(1+msci_ann_gr)+AN436</f>
        <v>0</v>
      </c>
      <c r="AO444" s="196">
        <f>AN444*(1+msci_ann_gr)+AO436</f>
        <v>0</v>
      </c>
      <c r="AP444" s="196">
        <f>AO444*(1+msci_ann_gr)+AP436</f>
        <v>0</v>
      </c>
      <c r="AQ444" s="196">
        <f>AP444*(1+msci_ann_gr)+AQ436</f>
        <v>0</v>
      </c>
      <c r="AR444" s="196">
        <f>AQ444*(1+msci_ann_gr)+AR436</f>
        <v>0</v>
      </c>
      <c r="AS444" s="196">
        <f>AR444*(1+msci_ann_gr)+AS436</f>
        <v>0</v>
      </c>
      <c r="AT444" s="196">
        <f>AS444*(1+msci_ann_gr)+AT436</f>
        <v>0</v>
      </c>
      <c r="AU444" s="196">
        <f>AT444*(1+msci_ann_gr)+AU436</f>
        <v>0</v>
      </c>
      <c r="AV444" s="196">
        <f>AU444*(1+msci_ann_gr)+AV436</f>
        <v>0</v>
      </c>
      <c r="AW444" s="196">
        <f>AV444*(1+msci_ann_gr)+AW436</f>
        <v>0</v>
      </c>
      <c r="AX444" s="196">
        <f>AW444*(1+msci_ann_gr)+AX436</f>
        <v>0</v>
      </c>
      <c r="AY444" s="196">
        <f>AX444*(1+msci_ann_gr)+AY436</f>
        <v>0</v>
      </c>
      <c r="AZ444" s="196">
        <f>AY444*(1+msci_ann_gr)+AZ436</f>
        <v>0</v>
      </c>
    </row>
    <row r="445">
      <c r="A445" s="168"/>
      <c r="B445" s="242" t="s">
        <v>471</v>
      </c>
      <c r="C445" s="168"/>
      <c r="D445" s="196">
        <f t="shared" ref="D445:AZ445" si="62">D33+D444</f>
        <v>111104</v>
      </c>
      <c r="E445" s="196">
        <f t="shared" si="62"/>
        <v>119070.1568</v>
      </c>
      <c r="F445" s="196">
        <f t="shared" si="62"/>
        <v>127607.487</v>
      </c>
      <c r="G445" s="196">
        <f t="shared" si="62"/>
        <v>136756.9439</v>
      </c>
      <c r="H445" s="196">
        <f t="shared" si="62"/>
        <v>146562.4167</v>
      </c>
      <c r="I445" s="196">
        <f t="shared" si="62"/>
        <v>157070.942</v>
      </c>
      <c r="J445" s="196">
        <f t="shared" si="62"/>
        <v>168332.9286</v>
      </c>
      <c r="K445" s="196">
        <f t="shared" si="62"/>
        <v>180402.3995</v>
      </c>
      <c r="L445" s="196">
        <f t="shared" si="62"/>
        <v>193337.2516</v>
      </c>
      <c r="M445" s="196">
        <f t="shared" si="62"/>
        <v>207199.5325</v>
      </c>
      <c r="N445" s="196">
        <f t="shared" si="62"/>
        <v>222055.739</v>
      </c>
      <c r="O445" s="196">
        <f t="shared" si="62"/>
        <v>237977.1355</v>
      </c>
      <c r="P445" s="196">
        <f t="shared" si="62"/>
        <v>255040.0961</v>
      </c>
      <c r="Q445" s="196">
        <f t="shared" si="62"/>
        <v>273326.471</v>
      </c>
      <c r="R445" s="196">
        <f t="shared" si="62"/>
        <v>292923.979</v>
      </c>
      <c r="S445" s="196">
        <f t="shared" si="62"/>
        <v>313926.6283</v>
      </c>
      <c r="T445" s="196">
        <f t="shared" si="62"/>
        <v>336435.1675</v>
      </c>
      <c r="U445" s="196">
        <f t="shared" si="62"/>
        <v>360557.569</v>
      </c>
      <c r="V445" s="196">
        <f t="shared" si="62"/>
        <v>386409.5467</v>
      </c>
      <c r="W445" s="196">
        <f t="shared" si="62"/>
        <v>414115.1112</v>
      </c>
      <c r="X445" s="196">
        <f t="shared" si="62"/>
        <v>443807.1647</v>
      </c>
      <c r="Y445" s="196">
        <f t="shared" si="62"/>
        <v>475628.1384</v>
      </c>
      <c r="Z445" s="196">
        <f t="shared" si="62"/>
        <v>509730.6759</v>
      </c>
      <c r="AA445" s="196">
        <f t="shared" si="62"/>
        <v>546278.3654</v>
      </c>
      <c r="AB445" s="196">
        <f t="shared" si="62"/>
        <v>585446.5242</v>
      </c>
      <c r="AC445" s="196">
        <f t="shared" si="62"/>
        <v>627423.04</v>
      </c>
      <c r="AD445" s="196">
        <f t="shared" si="62"/>
        <v>672409.2719</v>
      </c>
      <c r="AE445" s="196">
        <f t="shared" si="62"/>
        <v>720621.0167</v>
      </c>
      <c r="AF445" s="196">
        <f t="shared" si="62"/>
        <v>772289.5436</v>
      </c>
      <c r="AG445" s="196">
        <f t="shared" si="62"/>
        <v>827662.7039</v>
      </c>
      <c r="AH445" s="196">
        <f t="shared" si="62"/>
        <v>887006.1198</v>
      </c>
      <c r="AI445" s="196">
        <f t="shared" si="62"/>
        <v>950604.4586</v>
      </c>
      <c r="AJ445" s="196">
        <f t="shared" si="62"/>
        <v>1018762.798</v>
      </c>
      <c r="AK445" s="196">
        <f t="shared" si="62"/>
        <v>1091808.091</v>
      </c>
      <c r="AL445" s="196">
        <f t="shared" si="62"/>
        <v>1170090.731</v>
      </c>
      <c r="AM445" s="196">
        <f t="shared" si="62"/>
        <v>1253986.236</v>
      </c>
      <c r="AN445" s="196">
        <f t="shared" si="62"/>
        <v>1343897.05</v>
      </c>
      <c r="AO445" s="196">
        <f t="shared" si="62"/>
        <v>1440254.468</v>
      </c>
      <c r="AP445" s="196">
        <f t="shared" si="62"/>
        <v>1543520.713</v>
      </c>
      <c r="AQ445" s="196">
        <f t="shared" si="62"/>
        <v>1654191.149</v>
      </c>
      <c r="AR445" s="196">
        <f t="shared" si="62"/>
        <v>1772796.654</v>
      </c>
      <c r="AS445" s="196">
        <f t="shared" si="62"/>
        <v>1899906.174</v>
      </c>
      <c r="AT445" s="196">
        <f t="shared" si="62"/>
        <v>2036129.447</v>
      </c>
      <c r="AU445" s="196">
        <f t="shared" si="62"/>
        <v>2182119.928</v>
      </c>
      <c r="AV445" s="196">
        <f t="shared" si="62"/>
        <v>2338577.927</v>
      </c>
      <c r="AW445" s="196">
        <f t="shared" si="62"/>
        <v>2506253.964</v>
      </c>
      <c r="AX445" s="196">
        <f t="shared" si="62"/>
        <v>2685952.373</v>
      </c>
      <c r="AY445" s="196">
        <f t="shared" si="62"/>
        <v>2878535.159</v>
      </c>
      <c r="AZ445" s="196">
        <f t="shared" si="62"/>
        <v>3084926.129</v>
      </c>
    </row>
    <row r="446">
      <c r="A446" s="168"/>
      <c r="B446" s="197" t="s">
        <v>472</v>
      </c>
      <c r="C446" s="168"/>
      <c r="D446" s="199">
        <f t="shared" ref="D446:AZ446" si="63">D444-sum($D436:D436)+sum($D438:D438)</f>
        <v>0</v>
      </c>
      <c r="E446" s="199">
        <f t="shared" si="63"/>
        <v>0</v>
      </c>
      <c r="F446" s="199">
        <f t="shared" si="63"/>
        <v>0</v>
      </c>
      <c r="G446" s="199">
        <f t="shared" si="63"/>
        <v>0</v>
      </c>
      <c r="H446" s="199">
        <f t="shared" si="63"/>
        <v>0</v>
      </c>
      <c r="I446" s="199">
        <f t="shared" si="63"/>
        <v>0</v>
      </c>
      <c r="J446" s="199">
        <f t="shared" si="63"/>
        <v>0</v>
      </c>
      <c r="K446" s="199">
        <f t="shared" si="63"/>
        <v>0</v>
      </c>
      <c r="L446" s="199">
        <f t="shared" si="63"/>
        <v>0</v>
      </c>
      <c r="M446" s="199">
        <f t="shared" si="63"/>
        <v>0</v>
      </c>
      <c r="N446" s="199">
        <f t="shared" si="63"/>
        <v>0</v>
      </c>
      <c r="O446" s="199">
        <f t="shared" si="63"/>
        <v>0</v>
      </c>
      <c r="P446" s="199">
        <f t="shared" si="63"/>
        <v>0</v>
      </c>
      <c r="Q446" s="199">
        <f t="shared" si="63"/>
        <v>0</v>
      </c>
      <c r="R446" s="199">
        <f t="shared" si="63"/>
        <v>0</v>
      </c>
      <c r="S446" s="199">
        <f t="shared" si="63"/>
        <v>0</v>
      </c>
      <c r="T446" s="199">
        <f t="shared" si="63"/>
        <v>0</v>
      </c>
      <c r="U446" s="199">
        <f t="shared" si="63"/>
        <v>0</v>
      </c>
      <c r="V446" s="199">
        <f t="shared" si="63"/>
        <v>0</v>
      </c>
      <c r="W446" s="199">
        <f t="shared" si="63"/>
        <v>0</v>
      </c>
      <c r="X446" s="199">
        <f t="shared" si="63"/>
        <v>0</v>
      </c>
      <c r="Y446" s="199">
        <f t="shared" si="63"/>
        <v>0</v>
      </c>
      <c r="Z446" s="199">
        <f t="shared" si="63"/>
        <v>0</v>
      </c>
      <c r="AA446" s="199">
        <f t="shared" si="63"/>
        <v>0</v>
      </c>
      <c r="AB446" s="199">
        <f t="shared" si="63"/>
        <v>0</v>
      </c>
      <c r="AC446" s="199">
        <f t="shared" si="63"/>
        <v>0</v>
      </c>
      <c r="AD446" s="199">
        <f t="shared" si="63"/>
        <v>0</v>
      </c>
      <c r="AE446" s="199">
        <f t="shared" si="63"/>
        <v>0</v>
      </c>
      <c r="AF446" s="199">
        <f t="shared" si="63"/>
        <v>0</v>
      </c>
      <c r="AG446" s="199">
        <f t="shared" si="63"/>
        <v>0</v>
      </c>
      <c r="AH446" s="199">
        <f t="shared" si="63"/>
        <v>0</v>
      </c>
      <c r="AI446" s="199">
        <f t="shared" si="63"/>
        <v>0</v>
      </c>
      <c r="AJ446" s="199">
        <f t="shared" si="63"/>
        <v>0</v>
      </c>
      <c r="AK446" s="199">
        <f t="shared" si="63"/>
        <v>0</v>
      </c>
      <c r="AL446" s="199">
        <f t="shared" si="63"/>
        <v>0</v>
      </c>
      <c r="AM446" s="199">
        <f t="shared" si="63"/>
        <v>0</v>
      </c>
      <c r="AN446" s="199">
        <f t="shared" si="63"/>
        <v>0</v>
      </c>
      <c r="AO446" s="199">
        <f t="shared" si="63"/>
        <v>0</v>
      </c>
      <c r="AP446" s="199">
        <f t="shared" si="63"/>
        <v>0</v>
      </c>
      <c r="AQ446" s="199">
        <f t="shared" si="63"/>
        <v>0</v>
      </c>
      <c r="AR446" s="199">
        <f t="shared" si="63"/>
        <v>0</v>
      </c>
      <c r="AS446" s="199">
        <f t="shared" si="63"/>
        <v>0</v>
      </c>
      <c r="AT446" s="199">
        <f t="shared" si="63"/>
        <v>0</v>
      </c>
      <c r="AU446" s="199">
        <f t="shared" si="63"/>
        <v>0</v>
      </c>
      <c r="AV446" s="199">
        <f t="shared" si="63"/>
        <v>0</v>
      </c>
      <c r="AW446" s="199">
        <f t="shared" si="63"/>
        <v>0</v>
      </c>
      <c r="AX446" s="199">
        <f t="shared" si="63"/>
        <v>0</v>
      </c>
      <c r="AY446" s="199">
        <f t="shared" si="63"/>
        <v>0</v>
      </c>
      <c r="AZ446" s="199">
        <f t="shared" si="63"/>
        <v>0</v>
      </c>
    </row>
    <row r="447">
      <c r="A447" s="168"/>
      <c r="B447" s="168"/>
      <c r="C447" s="168"/>
      <c r="D447" s="209"/>
      <c r="E447" s="209"/>
      <c r="F447" s="209"/>
      <c r="G447" s="209"/>
      <c r="H447" s="209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  <c r="AC447" s="266"/>
      <c r="AD447" s="266"/>
      <c r="AE447" s="266"/>
      <c r="AF447" s="266"/>
      <c r="AG447" s="266"/>
      <c r="AH447" s="266"/>
      <c r="AI447" s="266"/>
      <c r="AJ447" s="266"/>
      <c r="AK447" s="266"/>
      <c r="AL447" s="266"/>
      <c r="AM447" s="266"/>
      <c r="AN447" s="266"/>
      <c r="AO447" s="266"/>
      <c r="AP447" s="266"/>
      <c r="AQ447" s="266"/>
      <c r="AR447" s="266"/>
      <c r="AS447" s="266"/>
      <c r="AT447" s="266"/>
      <c r="AU447" s="266"/>
      <c r="AV447" s="266"/>
      <c r="AW447" s="266"/>
      <c r="AX447" s="266"/>
      <c r="AY447" s="266"/>
      <c r="AZ447" s="266"/>
    </row>
    <row r="448">
      <c r="A448" s="168"/>
      <c r="B448" s="168"/>
      <c r="C448" s="168"/>
      <c r="D448" s="209"/>
      <c r="E448" s="209"/>
      <c r="F448" s="209"/>
      <c r="G448" s="209"/>
      <c r="H448" s="209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  <c r="AC448" s="266"/>
      <c r="AD448" s="266"/>
      <c r="AE448" s="266"/>
      <c r="AF448" s="266"/>
      <c r="AG448" s="266"/>
      <c r="AH448" s="266"/>
      <c r="AI448" s="266"/>
      <c r="AJ448" s="266"/>
      <c r="AK448" s="266"/>
      <c r="AL448" s="266"/>
      <c r="AM448" s="266"/>
      <c r="AN448" s="266"/>
      <c r="AO448" s="266"/>
      <c r="AP448" s="266"/>
      <c r="AQ448" s="266"/>
      <c r="AR448" s="266"/>
      <c r="AS448" s="266"/>
      <c r="AT448" s="266"/>
      <c r="AU448" s="266"/>
      <c r="AV448" s="266"/>
      <c r="AW448" s="266"/>
      <c r="AX448" s="266"/>
      <c r="AY448" s="266"/>
      <c r="AZ448" s="266"/>
    </row>
    <row r="449">
      <c r="A449" s="168"/>
      <c r="B449" s="168"/>
      <c r="C449" s="168"/>
      <c r="D449" s="209"/>
      <c r="E449" s="209"/>
      <c r="F449" s="209"/>
      <c r="G449" s="209"/>
      <c r="H449" s="209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  <c r="AC449" s="266"/>
      <c r="AD449" s="266"/>
      <c r="AE449" s="266"/>
      <c r="AF449" s="266"/>
      <c r="AG449" s="266"/>
      <c r="AH449" s="266"/>
      <c r="AI449" s="266"/>
      <c r="AJ449" s="266"/>
      <c r="AK449" s="266"/>
      <c r="AL449" s="266"/>
      <c r="AM449" s="266"/>
      <c r="AN449" s="266"/>
      <c r="AO449" s="266"/>
      <c r="AP449" s="266"/>
      <c r="AQ449" s="266"/>
      <c r="AR449" s="266"/>
      <c r="AS449" s="266"/>
      <c r="AT449" s="266"/>
      <c r="AU449" s="266"/>
      <c r="AV449" s="266"/>
      <c r="AW449" s="266"/>
      <c r="AX449" s="266"/>
      <c r="AY449" s="266"/>
      <c r="AZ449" s="266"/>
    </row>
    <row r="450">
      <c r="A450" s="168"/>
      <c r="B450" s="139" t="s">
        <v>309</v>
      </c>
      <c r="C450" s="168"/>
      <c r="D450" s="209"/>
      <c r="E450" s="209"/>
      <c r="F450" s="209"/>
      <c r="G450" s="209"/>
      <c r="H450" s="209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  <c r="AC450" s="266"/>
      <c r="AD450" s="266"/>
      <c r="AE450" s="266"/>
      <c r="AF450" s="266"/>
      <c r="AG450" s="266"/>
      <c r="AH450" s="266"/>
      <c r="AI450" s="266"/>
      <c r="AJ450" s="266"/>
      <c r="AK450" s="266"/>
      <c r="AL450" s="266"/>
      <c r="AM450" s="266"/>
      <c r="AN450" s="266"/>
      <c r="AO450" s="266"/>
      <c r="AP450" s="266"/>
      <c r="AQ450" s="266"/>
      <c r="AR450" s="266"/>
      <c r="AS450" s="266"/>
      <c r="AT450" s="266"/>
      <c r="AU450" s="266"/>
      <c r="AV450" s="266"/>
      <c r="AW450" s="266"/>
      <c r="AX450" s="266"/>
      <c r="AY450" s="266"/>
      <c r="AZ450" s="266"/>
    </row>
    <row r="451">
      <c r="A451" s="168"/>
      <c r="B451" s="168"/>
      <c r="C451" s="168"/>
      <c r="D451" s="267" t="s">
        <v>344</v>
      </c>
      <c r="E451" s="21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  <c r="AB451" s="168"/>
      <c r="AC451" s="168"/>
      <c r="AD451" s="168"/>
      <c r="AE451" s="168"/>
      <c r="AF451" s="168"/>
      <c r="AG451" s="168"/>
      <c r="AH451" s="168"/>
      <c r="AI451" s="168"/>
      <c r="AJ451" s="168"/>
      <c r="AK451" s="168"/>
      <c r="AL451" s="168"/>
      <c r="AM451" s="168"/>
      <c r="AN451" s="168"/>
      <c r="AO451" s="168"/>
      <c r="AP451" s="168"/>
      <c r="AQ451" s="168"/>
      <c r="AR451" s="168"/>
      <c r="AS451" s="168"/>
      <c r="AT451" s="168"/>
      <c r="AU451" s="168"/>
      <c r="AV451" s="168"/>
      <c r="AW451" s="168"/>
      <c r="AX451" s="168"/>
      <c r="AY451" s="168"/>
      <c r="AZ451" s="168"/>
    </row>
    <row r="452">
      <c r="A452" s="168"/>
      <c r="B452" s="168"/>
      <c r="C452" s="212"/>
      <c r="D452" s="268" t="s">
        <v>345</v>
      </c>
      <c r="E452" s="269" t="s">
        <v>251</v>
      </c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  <c r="AB452" s="168"/>
      <c r="AC452" s="168"/>
      <c r="AD452" s="168"/>
      <c r="AE452" s="168"/>
      <c r="AF452" s="168"/>
      <c r="AG452" s="168"/>
      <c r="AH452" s="168"/>
      <c r="AI452" s="168"/>
      <c r="AJ452" s="168"/>
      <c r="AK452" s="168"/>
      <c r="AL452" s="168"/>
      <c r="AM452" s="168"/>
      <c r="AN452" s="168"/>
      <c r="AO452" s="168"/>
      <c r="AP452" s="168"/>
      <c r="AQ452" s="168"/>
      <c r="AR452" s="168"/>
      <c r="AS452" s="168"/>
      <c r="AT452" s="168"/>
      <c r="AU452" s="168"/>
      <c r="AV452" s="168"/>
      <c r="AW452" s="168"/>
      <c r="AX452" s="168"/>
      <c r="AY452" s="168"/>
      <c r="AZ452" s="168"/>
    </row>
    <row r="453">
      <c r="A453" s="168"/>
      <c r="B453" s="175" t="str">
        <f>"1 year ("&amp;(Year(today())+1)&amp;")"</f>
        <v>1 year (2026)</v>
      </c>
      <c r="C453" s="215"/>
      <c r="D453" s="219">
        <f>E446</f>
        <v>0</v>
      </c>
      <c r="E453" s="217" t="str">
        <f t="shared" ref="E453:E456" si="64">D453/$H$65</f>
        <v>#DIV/0!</v>
      </c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  <c r="AB453" s="168"/>
      <c r="AC453" s="168"/>
      <c r="AD453" s="168"/>
      <c r="AE453" s="168"/>
      <c r="AF453" s="168"/>
      <c r="AG453" s="168"/>
      <c r="AH453" s="168"/>
      <c r="AI453" s="168"/>
      <c r="AJ453" s="168"/>
      <c r="AK453" s="168"/>
      <c r="AL453" s="168"/>
      <c r="AM453" s="168"/>
      <c r="AN453" s="168"/>
      <c r="AO453" s="168"/>
      <c r="AP453" s="168"/>
      <c r="AQ453" s="168"/>
      <c r="AR453" s="168"/>
      <c r="AS453" s="168"/>
      <c r="AT453" s="168"/>
      <c r="AU453" s="168"/>
      <c r="AV453" s="168"/>
      <c r="AW453" s="168"/>
      <c r="AX453" s="168"/>
      <c r="AY453" s="168"/>
      <c r="AZ453" s="168"/>
    </row>
    <row r="454">
      <c r="A454" s="168"/>
      <c r="B454" s="175" t="str">
        <f>"5 years ("&amp;(Year(today())+5)&amp;")"</f>
        <v>5 years (2030)</v>
      </c>
      <c r="C454" s="218"/>
      <c r="D454" s="219">
        <f>I446</f>
        <v>0</v>
      </c>
      <c r="E454" s="217" t="str">
        <f t="shared" si="64"/>
        <v>#DIV/0!</v>
      </c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  <c r="AB454" s="168"/>
      <c r="AC454" s="168"/>
      <c r="AD454" s="168"/>
      <c r="AE454" s="168"/>
      <c r="AF454" s="168"/>
      <c r="AG454" s="168"/>
      <c r="AH454" s="168"/>
      <c r="AI454" s="168"/>
      <c r="AJ454" s="168"/>
      <c r="AK454" s="168"/>
      <c r="AL454" s="168"/>
      <c r="AM454" s="168"/>
      <c r="AN454" s="168"/>
      <c r="AO454" s="168"/>
      <c r="AP454" s="168"/>
      <c r="AQ454" s="168"/>
      <c r="AR454" s="168"/>
      <c r="AS454" s="168"/>
      <c r="AT454" s="168"/>
      <c r="AU454" s="168"/>
      <c r="AV454" s="168"/>
      <c r="AW454" s="168"/>
      <c r="AX454" s="168"/>
      <c r="AY454" s="168"/>
      <c r="AZ454" s="168"/>
    </row>
    <row r="455">
      <c r="A455" s="168"/>
      <c r="B455" s="175" t="str">
        <f>"10 years ("&amp;(Year(today())+10)&amp;")"</f>
        <v>10 years (2035)</v>
      </c>
      <c r="C455" s="218"/>
      <c r="D455" s="219">
        <f>N446</f>
        <v>0</v>
      </c>
      <c r="E455" s="217" t="str">
        <f t="shared" si="64"/>
        <v>#DIV/0!</v>
      </c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  <c r="AB455" s="168"/>
      <c r="AC455" s="168"/>
      <c r="AD455" s="168"/>
      <c r="AE455" s="168"/>
      <c r="AF455" s="168"/>
      <c r="AG455" s="168"/>
      <c r="AH455" s="168"/>
      <c r="AI455" s="168"/>
      <c r="AJ455" s="168"/>
      <c r="AK455" s="168"/>
      <c r="AL455" s="168"/>
      <c r="AM455" s="168"/>
      <c r="AN455" s="168"/>
      <c r="AO455" s="168"/>
      <c r="AP455" s="168"/>
      <c r="AQ455" s="168"/>
      <c r="AR455" s="168"/>
      <c r="AS455" s="168"/>
      <c r="AT455" s="168"/>
      <c r="AU455" s="168"/>
      <c r="AV455" s="168"/>
      <c r="AW455" s="168"/>
      <c r="AX455" s="168"/>
      <c r="AY455" s="168"/>
      <c r="AZ455" s="168"/>
    </row>
    <row r="456">
      <c r="A456" s="168"/>
      <c r="B456" s="175" t="str">
        <f>"20 years ("&amp;(Year(today())+20)&amp;")"</f>
        <v>20 years (2045)</v>
      </c>
      <c r="C456" s="222"/>
      <c r="D456" s="219">
        <f>X446</f>
        <v>0</v>
      </c>
      <c r="E456" s="217" t="str">
        <f t="shared" si="64"/>
        <v>#DIV/0!</v>
      </c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  <c r="AB456" s="168"/>
      <c r="AC456" s="168"/>
      <c r="AD456" s="168"/>
      <c r="AE456" s="168"/>
      <c r="AF456" s="168"/>
      <c r="AG456" s="168"/>
      <c r="AH456" s="168"/>
      <c r="AI456" s="168"/>
      <c r="AJ456" s="168"/>
      <c r="AK456" s="168"/>
      <c r="AL456" s="168"/>
      <c r="AM456" s="168"/>
      <c r="AN456" s="168"/>
      <c r="AO456" s="168"/>
      <c r="AP456" s="168"/>
      <c r="AQ456" s="168"/>
      <c r="AR456" s="168"/>
      <c r="AS456" s="168"/>
      <c r="AT456" s="168"/>
      <c r="AU456" s="168"/>
      <c r="AV456" s="168"/>
      <c r="AW456" s="168"/>
      <c r="AX456" s="168"/>
      <c r="AY456" s="168"/>
      <c r="AZ456" s="168"/>
    </row>
    <row r="457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  <c r="AB457" s="168"/>
      <c r="AC457" s="168"/>
      <c r="AD457" s="168"/>
      <c r="AE457" s="168"/>
      <c r="AF457" s="168"/>
      <c r="AG457" s="168"/>
      <c r="AH457" s="168"/>
      <c r="AI457" s="168"/>
      <c r="AJ457" s="168"/>
      <c r="AK457" s="168"/>
      <c r="AL457" s="168"/>
      <c r="AM457" s="168"/>
      <c r="AN457" s="168"/>
      <c r="AO457" s="168"/>
      <c r="AP457" s="168"/>
      <c r="AQ457" s="168"/>
      <c r="AR457" s="168"/>
      <c r="AS457" s="168"/>
      <c r="AT457" s="168"/>
      <c r="AU457" s="168"/>
      <c r="AV457" s="168"/>
      <c r="AW457" s="168"/>
      <c r="AX457" s="168"/>
      <c r="AY457" s="168"/>
      <c r="AZ457" s="168"/>
    </row>
    <row r="45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  <c r="AB458" s="168"/>
      <c r="AC458" s="168"/>
      <c r="AD458" s="168"/>
      <c r="AE458" s="168"/>
      <c r="AF458" s="168"/>
      <c r="AG458" s="168"/>
      <c r="AH458" s="168"/>
      <c r="AI458" s="168"/>
      <c r="AJ458" s="168"/>
      <c r="AK458" s="168"/>
      <c r="AL458" s="168"/>
      <c r="AM458" s="168"/>
      <c r="AN458" s="168"/>
      <c r="AO458" s="168"/>
      <c r="AP458" s="168"/>
      <c r="AQ458" s="168"/>
      <c r="AR458" s="168"/>
      <c r="AS458" s="168"/>
      <c r="AT458" s="168"/>
      <c r="AU458" s="168"/>
      <c r="AV458" s="168"/>
      <c r="AW458" s="168"/>
      <c r="AX458" s="168"/>
      <c r="AY458" s="168"/>
      <c r="AZ458" s="168"/>
    </row>
    <row r="459">
      <c r="A459" s="252" t="s">
        <v>473</v>
      </c>
      <c r="B459" s="252" t="s">
        <v>474</v>
      </c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  <c r="AB459" s="168"/>
      <c r="AC459" s="168"/>
      <c r="AD459" s="168"/>
      <c r="AE459" s="168"/>
      <c r="AF459" s="168"/>
      <c r="AG459" s="168"/>
      <c r="AH459" s="168"/>
      <c r="AI459" s="168"/>
      <c r="AJ459" s="168"/>
      <c r="AK459" s="168"/>
      <c r="AL459" s="168"/>
      <c r="AM459" s="168"/>
      <c r="AN459" s="168"/>
      <c r="AO459" s="168"/>
      <c r="AP459" s="168"/>
      <c r="AQ459" s="168"/>
      <c r="AR459" s="168"/>
      <c r="AS459" s="168"/>
      <c r="AT459" s="168"/>
      <c r="AU459" s="168"/>
      <c r="AV459" s="168"/>
      <c r="AW459" s="168"/>
      <c r="AX459" s="168"/>
      <c r="AY459" s="168"/>
      <c r="AZ459" s="168"/>
    </row>
    <row r="460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  <c r="AB460" s="168"/>
      <c r="AC460" s="168"/>
      <c r="AD460" s="168"/>
      <c r="AE460" s="168"/>
      <c r="AF460" s="168"/>
      <c r="AG460" s="168"/>
      <c r="AH460" s="168"/>
      <c r="AI460" s="168"/>
      <c r="AJ460" s="168"/>
      <c r="AK460" s="168"/>
      <c r="AL460" s="168"/>
      <c r="AM460" s="168"/>
      <c r="AN460" s="168"/>
      <c r="AO460" s="168"/>
      <c r="AP460" s="168"/>
      <c r="AQ460" s="168"/>
      <c r="AR460" s="168"/>
      <c r="AS460" s="168"/>
      <c r="AT460" s="168"/>
      <c r="AU460" s="168"/>
      <c r="AV460" s="168"/>
      <c r="AW460" s="168"/>
      <c r="AX460" s="168"/>
      <c r="AY460" s="168"/>
      <c r="AZ460" s="168"/>
    </row>
    <row r="461">
      <c r="A461" s="168"/>
      <c r="B461" s="139" t="s">
        <v>280</v>
      </c>
      <c r="C461" s="170" t="s">
        <v>475</v>
      </c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  <c r="AB461" s="168"/>
      <c r="AC461" s="168"/>
      <c r="AD461" s="168"/>
      <c r="AE461" s="168"/>
      <c r="AF461" s="168"/>
      <c r="AG461" s="168"/>
      <c r="AH461" s="168"/>
      <c r="AI461" s="168"/>
      <c r="AJ461" s="168"/>
      <c r="AK461" s="168"/>
      <c r="AL461" s="168"/>
      <c r="AM461" s="168"/>
      <c r="AN461" s="168"/>
      <c r="AO461" s="168"/>
      <c r="AP461" s="168"/>
      <c r="AQ461" s="168"/>
      <c r="AR461" s="168"/>
      <c r="AS461" s="168"/>
      <c r="AT461" s="168"/>
      <c r="AU461" s="168"/>
      <c r="AV461" s="168"/>
      <c r="AW461" s="168"/>
      <c r="AX461" s="168"/>
      <c r="AY461" s="168"/>
      <c r="AZ461" s="168"/>
    </row>
    <row r="462">
      <c r="A462" s="168"/>
      <c r="B462" s="168"/>
      <c r="C462" s="224" t="s">
        <v>476</v>
      </c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  <c r="AB462" s="168"/>
      <c r="AC462" s="168"/>
      <c r="AD462" s="168"/>
      <c r="AE462" s="168"/>
      <c r="AF462" s="168"/>
      <c r="AG462" s="168"/>
      <c r="AH462" s="168"/>
      <c r="AI462" s="168"/>
      <c r="AJ462" s="168"/>
      <c r="AK462" s="168"/>
      <c r="AL462" s="168"/>
      <c r="AM462" s="168"/>
      <c r="AN462" s="168"/>
      <c r="AO462" s="168"/>
      <c r="AP462" s="168"/>
      <c r="AQ462" s="168"/>
      <c r="AR462" s="168"/>
      <c r="AS462" s="168"/>
      <c r="AT462" s="168"/>
      <c r="AU462" s="168"/>
      <c r="AV462" s="168"/>
      <c r="AW462" s="168"/>
      <c r="AX462" s="168"/>
      <c r="AY462" s="168"/>
      <c r="AZ462" s="168"/>
    </row>
    <row r="463">
      <c r="A463" s="168"/>
      <c r="B463" s="168"/>
      <c r="C463" s="170" t="s">
        <v>462</v>
      </c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  <c r="AB463" s="168"/>
      <c r="AC463" s="168"/>
      <c r="AD463" s="168"/>
      <c r="AE463" s="168"/>
      <c r="AF463" s="168"/>
      <c r="AG463" s="168"/>
      <c r="AH463" s="168"/>
      <c r="AI463" s="168"/>
      <c r="AJ463" s="168"/>
      <c r="AK463" s="168"/>
      <c r="AL463" s="168"/>
      <c r="AM463" s="168"/>
      <c r="AN463" s="168"/>
      <c r="AO463" s="168"/>
      <c r="AP463" s="168"/>
      <c r="AQ463" s="168"/>
      <c r="AR463" s="168"/>
      <c r="AS463" s="168"/>
      <c r="AT463" s="168"/>
      <c r="AU463" s="168"/>
      <c r="AV463" s="168"/>
      <c r="AW463" s="168"/>
      <c r="AX463" s="168"/>
      <c r="AY463" s="168"/>
      <c r="AZ463" s="168"/>
    </row>
    <row r="464">
      <c r="A464" s="168"/>
      <c r="B464" s="168"/>
      <c r="C464" s="170" t="s">
        <v>477</v>
      </c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  <c r="AB464" s="168"/>
      <c r="AC464" s="168"/>
      <c r="AD464" s="168"/>
      <c r="AE464" s="168"/>
      <c r="AF464" s="168"/>
      <c r="AG464" s="168"/>
      <c r="AH464" s="168"/>
      <c r="AI464" s="168"/>
      <c r="AJ464" s="168"/>
      <c r="AK464" s="168"/>
      <c r="AL464" s="168"/>
      <c r="AM464" s="168"/>
      <c r="AN464" s="168"/>
      <c r="AO464" s="168"/>
      <c r="AP464" s="168"/>
      <c r="AQ464" s="168"/>
      <c r="AR464" s="168"/>
      <c r="AS464" s="168"/>
      <c r="AT464" s="168"/>
      <c r="AU464" s="168"/>
      <c r="AV464" s="168"/>
      <c r="AW464" s="168"/>
      <c r="AX464" s="168"/>
      <c r="AY464" s="168"/>
      <c r="AZ464" s="168"/>
    </row>
    <row r="465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  <c r="AB465" s="168"/>
      <c r="AC465" s="168"/>
      <c r="AD465" s="168"/>
      <c r="AE465" s="168"/>
      <c r="AF465" s="168"/>
      <c r="AG465" s="168"/>
      <c r="AH465" s="168"/>
      <c r="AI465" s="168"/>
      <c r="AJ465" s="168"/>
      <c r="AK465" s="168"/>
      <c r="AL465" s="168"/>
      <c r="AM465" s="168"/>
      <c r="AN465" s="168"/>
      <c r="AO465" s="168"/>
      <c r="AP465" s="168"/>
      <c r="AQ465" s="168"/>
      <c r="AR465" s="168"/>
      <c r="AS465" s="168"/>
      <c r="AT465" s="168"/>
      <c r="AU465" s="168"/>
      <c r="AV465" s="168"/>
      <c r="AW465" s="168"/>
      <c r="AX465" s="168"/>
      <c r="AY465" s="168"/>
      <c r="AZ465" s="168"/>
    </row>
    <row r="466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  <c r="AB466" s="168"/>
      <c r="AC466" s="168"/>
      <c r="AD466" s="168"/>
      <c r="AE466" s="168"/>
      <c r="AF466" s="168"/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168"/>
      <c r="AT466" s="168"/>
      <c r="AU466" s="168"/>
      <c r="AV466" s="168"/>
      <c r="AW466" s="168"/>
      <c r="AX466" s="168"/>
      <c r="AY466" s="168"/>
      <c r="AZ466" s="168"/>
    </row>
    <row r="467">
      <c r="A467" s="168"/>
      <c r="B467" s="259" t="s">
        <v>314</v>
      </c>
      <c r="C467" s="173" t="s">
        <v>478</v>
      </c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  <c r="AB467" s="168"/>
      <c r="AC467" s="168"/>
      <c r="AD467" s="168"/>
      <c r="AE467" s="168"/>
      <c r="AF467" s="168"/>
      <c r="AG467" s="168"/>
      <c r="AH467" s="168"/>
      <c r="AI467" s="168"/>
      <c r="AJ467" s="168"/>
      <c r="AK467" s="168"/>
      <c r="AL467" s="168"/>
      <c r="AM467" s="168"/>
      <c r="AN467" s="168"/>
      <c r="AO467" s="168"/>
      <c r="AP467" s="168"/>
      <c r="AQ467" s="168"/>
      <c r="AR467" s="168"/>
      <c r="AS467" s="168"/>
      <c r="AT467" s="168"/>
      <c r="AU467" s="168"/>
      <c r="AV467" s="168"/>
      <c r="AW467" s="168"/>
      <c r="AX467" s="168"/>
      <c r="AY467" s="168"/>
      <c r="AZ467" s="168"/>
    </row>
    <row r="468">
      <c r="A468" s="168"/>
      <c r="B468" s="259" t="s">
        <v>316</v>
      </c>
      <c r="C468" s="173" t="s">
        <v>319</v>
      </c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  <c r="AB468" s="168"/>
      <c r="AC468" s="168"/>
      <c r="AD468" s="168"/>
      <c r="AE468" s="168"/>
      <c r="AF468" s="168"/>
      <c r="AG468" s="168"/>
      <c r="AH468" s="168"/>
      <c r="AI468" s="168"/>
      <c r="AJ468" s="168"/>
      <c r="AK468" s="168"/>
      <c r="AL468" s="168"/>
      <c r="AM468" s="168"/>
      <c r="AN468" s="168"/>
      <c r="AO468" s="168"/>
      <c r="AP468" s="168"/>
      <c r="AQ468" s="168"/>
      <c r="AR468" s="168"/>
      <c r="AS468" s="168"/>
      <c r="AT468" s="168"/>
      <c r="AU468" s="168"/>
      <c r="AV468" s="168"/>
      <c r="AW468" s="168"/>
      <c r="AX468" s="168"/>
      <c r="AY468" s="168"/>
      <c r="AZ468" s="168"/>
    </row>
    <row r="469">
      <c r="A469" s="168"/>
      <c r="B469" s="259" t="s">
        <v>318</v>
      </c>
      <c r="C469" s="173" t="s">
        <v>319</v>
      </c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  <c r="AB469" s="168"/>
      <c r="AC469" s="168"/>
      <c r="AD469" s="168"/>
      <c r="AE469" s="168"/>
      <c r="AF469" s="168"/>
      <c r="AG469" s="168"/>
      <c r="AH469" s="168"/>
      <c r="AI469" s="168"/>
      <c r="AJ469" s="168"/>
      <c r="AK469" s="168"/>
      <c r="AL469" s="168"/>
      <c r="AM469" s="168"/>
      <c r="AN469" s="168"/>
      <c r="AO469" s="168"/>
      <c r="AP469" s="168"/>
      <c r="AQ469" s="168"/>
      <c r="AR469" s="168"/>
      <c r="AS469" s="168"/>
      <c r="AT469" s="168"/>
      <c r="AU469" s="168"/>
      <c r="AV469" s="168"/>
      <c r="AW469" s="168"/>
      <c r="AX469" s="168"/>
      <c r="AY469" s="168"/>
      <c r="AZ469" s="168"/>
    </row>
    <row r="470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  <c r="AB470" s="168"/>
      <c r="AC470" s="168"/>
      <c r="AD470" s="168"/>
      <c r="AE470" s="168"/>
      <c r="AF470" s="168"/>
      <c r="AG470" s="168"/>
      <c r="AH470" s="168"/>
      <c r="AI470" s="168"/>
      <c r="AJ470" s="168"/>
      <c r="AK470" s="168"/>
      <c r="AL470" s="168"/>
      <c r="AM470" s="168"/>
      <c r="AN470" s="168"/>
      <c r="AO470" s="168"/>
      <c r="AP470" s="168"/>
      <c r="AQ470" s="168"/>
      <c r="AR470" s="168"/>
      <c r="AS470" s="168"/>
      <c r="AT470" s="168"/>
      <c r="AU470" s="168"/>
      <c r="AV470" s="168"/>
      <c r="AW470" s="168"/>
      <c r="AX470" s="168"/>
      <c r="AY470" s="168"/>
      <c r="AZ470" s="168"/>
    </row>
    <row r="47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  <c r="AB471" s="168"/>
      <c r="AC471" s="168"/>
      <c r="AD471" s="168"/>
      <c r="AE471" s="168"/>
      <c r="AF471" s="168"/>
      <c r="AG471" s="168"/>
      <c r="AH471" s="168"/>
      <c r="AI471" s="168"/>
      <c r="AJ471" s="168"/>
      <c r="AK471" s="168"/>
      <c r="AL471" s="168"/>
      <c r="AM471" s="168"/>
      <c r="AN471" s="168"/>
      <c r="AO471" s="168"/>
      <c r="AP471" s="168"/>
      <c r="AQ471" s="168"/>
      <c r="AR471" s="168"/>
      <c r="AS471" s="168"/>
      <c r="AT471" s="168"/>
      <c r="AU471" s="168"/>
      <c r="AV471" s="168"/>
      <c r="AW471" s="168"/>
      <c r="AX471" s="168"/>
      <c r="AY471" s="168"/>
      <c r="AZ471" s="168"/>
    </row>
    <row r="472">
      <c r="A472" s="168"/>
      <c r="B472" s="260" t="s">
        <v>203</v>
      </c>
      <c r="C472" s="260" t="s">
        <v>440</v>
      </c>
      <c r="D472" s="260" t="s">
        <v>247</v>
      </c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  <c r="AB472" s="168"/>
      <c r="AC472" s="168"/>
      <c r="AD472" s="168"/>
      <c r="AE472" s="168"/>
      <c r="AF472" s="168"/>
      <c r="AG472" s="168"/>
      <c r="AH472" s="168"/>
      <c r="AI472" s="168"/>
      <c r="AJ472" s="168"/>
      <c r="AK472" s="168"/>
      <c r="AL472" s="168"/>
      <c r="AM472" s="168"/>
      <c r="AN472" s="168"/>
      <c r="AO472" s="168"/>
      <c r="AP472" s="168"/>
      <c r="AQ472" s="168"/>
      <c r="AR472" s="168"/>
      <c r="AS472" s="168"/>
      <c r="AT472" s="168"/>
      <c r="AU472" s="168"/>
      <c r="AV472" s="168"/>
      <c r="AW472" s="168"/>
      <c r="AX472" s="168"/>
      <c r="AY472" s="168"/>
      <c r="AZ472" s="168"/>
    </row>
    <row r="473">
      <c r="A473" s="168"/>
      <c r="B473" s="187" t="s">
        <v>479</v>
      </c>
      <c r="C473" s="288">
        <v>0.4</v>
      </c>
      <c r="D473" s="225" t="s">
        <v>480</v>
      </c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  <c r="AB473" s="168"/>
      <c r="AC473" s="168"/>
      <c r="AD473" s="168"/>
      <c r="AE473" s="168"/>
      <c r="AF473" s="168"/>
      <c r="AG473" s="168"/>
      <c r="AH473" s="168"/>
      <c r="AI473" s="168"/>
      <c r="AJ473" s="168"/>
      <c r="AK473" s="168"/>
      <c r="AL473" s="168"/>
      <c r="AM473" s="168"/>
      <c r="AN473" s="168"/>
      <c r="AO473" s="168"/>
      <c r="AP473" s="168"/>
      <c r="AQ473" s="168"/>
      <c r="AR473" s="168"/>
      <c r="AS473" s="168"/>
      <c r="AT473" s="168"/>
      <c r="AU473" s="168"/>
      <c r="AV473" s="168"/>
      <c r="AW473" s="168"/>
      <c r="AX473" s="168"/>
      <c r="AY473" s="168"/>
      <c r="AZ473" s="168"/>
    </row>
    <row r="474">
      <c r="A474" s="168"/>
      <c r="B474" s="187" t="s">
        <v>481</v>
      </c>
      <c r="C474" s="286">
        <v>20000.0</v>
      </c>
      <c r="D474" s="225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  <c r="AB474" s="168"/>
      <c r="AC474" s="168"/>
      <c r="AD474" s="168"/>
      <c r="AE474" s="168"/>
      <c r="AF474" s="168"/>
      <c r="AG474" s="168"/>
      <c r="AH474" s="168"/>
      <c r="AI474" s="168"/>
      <c r="AJ474" s="168"/>
      <c r="AK474" s="168"/>
      <c r="AL474" s="168"/>
      <c r="AM474" s="168"/>
      <c r="AN474" s="168"/>
      <c r="AO474" s="168"/>
      <c r="AP474" s="168"/>
      <c r="AQ474" s="168"/>
      <c r="AR474" s="168"/>
      <c r="AS474" s="168"/>
      <c r="AT474" s="168"/>
      <c r="AU474" s="168"/>
      <c r="AV474" s="168"/>
      <c r="AW474" s="168"/>
      <c r="AX474" s="168"/>
      <c r="AY474" s="168"/>
      <c r="AZ474" s="168"/>
    </row>
    <row r="475">
      <c r="A475" s="168"/>
      <c r="B475" s="187" t="s">
        <v>482</v>
      </c>
      <c r="C475" s="288">
        <v>0.1</v>
      </c>
      <c r="D475" s="225" t="s">
        <v>483</v>
      </c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  <c r="AB475" s="168"/>
      <c r="AC475" s="168"/>
      <c r="AD475" s="168"/>
      <c r="AE475" s="168"/>
      <c r="AF475" s="168"/>
      <c r="AG475" s="168"/>
      <c r="AH475" s="168"/>
      <c r="AI475" s="168"/>
      <c r="AJ475" s="168"/>
      <c r="AK475" s="168"/>
      <c r="AL475" s="168"/>
      <c r="AM475" s="168"/>
      <c r="AN475" s="168"/>
      <c r="AO475" s="168"/>
      <c r="AP475" s="168"/>
      <c r="AQ475" s="168"/>
      <c r="AR475" s="168"/>
      <c r="AS475" s="168"/>
      <c r="AT475" s="168"/>
      <c r="AU475" s="168"/>
      <c r="AV475" s="168"/>
      <c r="AW475" s="168"/>
      <c r="AX475" s="168"/>
      <c r="AY475" s="168"/>
      <c r="AZ475" s="168"/>
    </row>
    <row r="476">
      <c r="A476" s="168"/>
      <c r="B476" s="168"/>
      <c r="C476" s="287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  <c r="AB476" s="168"/>
      <c r="AC476" s="168"/>
      <c r="AD476" s="168"/>
      <c r="AE476" s="168"/>
      <c r="AF476" s="168"/>
      <c r="AG476" s="168"/>
      <c r="AH476" s="168"/>
      <c r="AI476" s="168"/>
      <c r="AJ476" s="168"/>
      <c r="AK476" s="168"/>
      <c r="AL476" s="168"/>
      <c r="AM476" s="168"/>
      <c r="AN476" s="168"/>
      <c r="AO476" s="168"/>
      <c r="AP476" s="168"/>
      <c r="AQ476" s="168"/>
      <c r="AR476" s="168"/>
      <c r="AS476" s="168"/>
      <c r="AT476" s="168"/>
      <c r="AU476" s="168"/>
      <c r="AV476" s="168"/>
      <c r="AW476" s="168"/>
      <c r="AX476" s="168"/>
      <c r="AY476" s="168"/>
      <c r="AZ476" s="168"/>
    </row>
    <row r="477">
      <c r="A477" s="168"/>
      <c r="B477" s="139"/>
      <c r="C477" s="192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  <c r="AB477" s="168"/>
      <c r="AC477" s="168"/>
      <c r="AD477" s="168"/>
      <c r="AE477" s="168"/>
      <c r="AF477" s="168"/>
      <c r="AG477" s="168"/>
      <c r="AH477" s="168"/>
      <c r="AI477" s="168"/>
      <c r="AJ477" s="168"/>
      <c r="AK477" s="168"/>
      <c r="AL477" s="168"/>
      <c r="AM477" s="168"/>
      <c r="AN477" s="168"/>
      <c r="AO477" s="168"/>
      <c r="AP477" s="168"/>
      <c r="AQ477" s="168"/>
      <c r="AR477" s="168"/>
      <c r="AS477" s="168"/>
      <c r="AT477" s="168"/>
      <c r="AU477" s="168"/>
      <c r="AV477" s="168"/>
      <c r="AW477" s="168"/>
      <c r="AX477" s="168"/>
      <c r="AY477" s="168"/>
      <c r="AZ477" s="168"/>
    </row>
    <row r="478">
      <c r="A478" s="168"/>
      <c r="B478" s="139" t="s">
        <v>336</v>
      </c>
      <c r="C478" s="192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  <c r="AB478" s="168"/>
      <c r="AC478" s="168"/>
      <c r="AD478" s="168"/>
      <c r="AE478" s="168"/>
      <c r="AF478" s="168"/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168"/>
      <c r="AT478" s="168"/>
      <c r="AU478" s="168"/>
      <c r="AV478" s="168"/>
      <c r="AW478" s="168"/>
      <c r="AX478" s="168"/>
      <c r="AY478" s="168"/>
      <c r="AZ478" s="168"/>
    </row>
    <row r="479">
      <c r="A479" s="168"/>
      <c r="B479" s="168"/>
      <c r="C479" s="287"/>
      <c r="D479" s="85" t="s">
        <v>285</v>
      </c>
      <c r="E479" s="193">
        <v>46143.0</v>
      </c>
      <c r="F479" s="193">
        <v>46508.0</v>
      </c>
      <c r="G479" s="193">
        <v>46874.0</v>
      </c>
      <c r="H479" s="193">
        <v>47239.0</v>
      </c>
      <c r="I479" s="193">
        <v>47604.0</v>
      </c>
      <c r="J479" s="193">
        <v>47969.0</v>
      </c>
      <c r="K479" s="193">
        <v>48335.0</v>
      </c>
      <c r="L479" s="193">
        <v>48700.0</v>
      </c>
      <c r="M479" s="193">
        <v>49065.0</v>
      </c>
      <c r="N479" s="193">
        <v>49430.0</v>
      </c>
      <c r="O479" s="193">
        <v>49796.0</v>
      </c>
      <c r="P479" s="193">
        <v>50161.0</v>
      </c>
      <c r="Q479" s="193">
        <v>50526.0</v>
      </c>
      <c r="R479" s="193">
        <v>50891.0</v>
      </c>
      <c r="S479" s="193">
        <v>51257.0</v>
      </c>
      <c r="T479" s="193">
        <v>51622.0</v>
      </c>
      <c r="U479" s="193">
        <v>51987.0</v>
      </c>
      <c r="V479" s="193">
        <v>52352.0</v>
      </c>
      <c r="W479" s="193">
        <v>52718.0</v>
      </c>
      <c r="X479" s="193">
        <v>53083.0</v>
      </c>
      <c r="Y479" s="193">
        <v>53448.0</v>
      </c>
      <c r="Z479" s="193">
        <v>53813.0</v>
      </c>
      <c r="AA479" s="193">
        <v>54179.0</v>
      </c>
      <c r="AB479" s="193">
        <v>54544.0</v>
      </c>
      <c r="AC479" s="193">
        <v>54909.0</v>
      </c>
      <c r="AD479" s="193">
        <v>55274.0</v>
      </c>
      <c r="AE479" s="193">
        <v>55640.0</v>
      </c>
      <c r="AF479" s="193">
        <v>56005.0</v>
      </c>
      <c r="AG479" s="193">
        <v>56370.0</v>
      </c>
      <c r="AH479" s="193">
        <v>56735.0</v>
      </c>
      <c r="AI479" s="193">
        <v>57101.0</v>
      </c>
      <c r="AJ479" s="193">
        <v>57466.0</v>
      </c>
      <c r="AK479" s="193">
        <v>57831.0</v>
      </c>
      <c r="AL479" s="193">
        <v>58196.0</v>
      </c>
      <c r="AM479" s="193">
        <v>58562.0</v>
      </c>
      <c r="AN479" s="193">
        <v>58927.0</v>
      </c>
      <c r="AO479" s="193">
        <v>59292.0</v>
      </c>
      <c r="AP479" s="193">
        <v>59657.0</v>
      </c>
      <c r="AQ479" s="193">
        <v>60023.0</v>
      </c>
      <c r="AR479" s="193">
        <v>60388.0</v>
      </c>
      <c r="AS479" s="193">
        <v>60753.0</v>
      </c>
      <c r="AT479" s="193">
        <v>61118.0</v>
      </c>
      <c r="AU479" s="193">
        <v>61484.0</v>
      </c>
      <c r="AV479" s="193">
        <v>61849.0</v>
      </c>
      <c r="AW479" s="193">
        <v>62214.0</v>
      </c>
      <c r="AX479" s="193">
        <v>62579.0</v>
      </c>
      <c r="AY479" s="193">
        <v>62945.0</v>
      </c>
      <c r="AZ479" s="193">
        <v>63310.0</v>
      </c>
    </row>
    <row r="480">
      <c r="A480" s="168"/>
      <c r="B480" s="126" t="s">
        <v>386</v>
      </c>
      <c r="C480" s="287"/>
      <c r="D480" s="196">
        <f>if(min(isa_limit,(D14+D229+D149))&gt;0, min(isa_limit,(D14+D229+D149)), 0)</f>
        <v>0</v>
      </c>
      <c r="E480" s="196">
        <f>if(min(isa_limit,(E14+E229+E149))&gt;0, min(isa_limit,(E14+E229+E149)), 0)</f>
        <v>1553.605248</v>
      </c>
      <c r="F480" s="196">
        <f>if(min(isa_limit,(F14+F229+F149))&gt;0, min(isa_limit,(F14+F229+F149)), 0)</f>
        <v>1553.605248</v>
      </c>
      <c r="G480" s="196">
        <f>if(min(isa_limit,(G14+G229+G149))&gt;0, min(isa_limit,(G14+G229+G149)), 0)</f>
        <v>1553.605248</v>
      </c>
      <c r="H480" s="196">
        <f>if(min(isa_limit,(H14+H229+H149))&gt;0, min(isa_limit,(H14+H229+H149)), 0)</f>
        <v>1553.605248</v>
      </c>
      <c r="I480" s="196">
        <f>if(min(isa_limit,(I14+I229+I149))&gt;0, min(isa_limit,(I14+I229+I149)), 0)</f>
        <v>1553.605248</v>
      </c>
      <c r="J480" s="196">
        <f>if(min(isa_limit,(J14+J229+J149))&gt;0, min(isa_limit,(J14+J229+J149)), 0)</f>
        <v>1553.605248</v>
      </c>
      <c r="K480" s="196">
        <f>if(min(isa_limit,(K14+K229+K149))&gt;0, min(isa_limit,(K14+K229+K149)), 0)</f>
        <v>1553.605248</v>
      </c>
      <c r="L480" s="196">
        <f>if(min(isa_limit,(L14+L229+L149))&gt;0, min(isa_limit,(L14+L229+L149)), 0)</f>
        <v>1553.605248</v>
      </c>
      <c r="M480" s="196">
        <f>if(min(isa_limit,(M14+M229+M149))&gt;0, min(isa_limit,(M14+M229+M149)), 0)</f>
        <v>1553.605248</v>
      </c>
      <c r="N480" s="196">
        <f>if(min(isa_limit,(N14+N229+N149))&gt;0, min(isa_limit,(N14+N229+N149)), 0)</f>
        <v>1553.605248</v>
      </c>
      <c r="O480" s="196">
        <f>if(min(isa_limit,(O14+O229+O149))&gt;0, min(isa_limit,(O14+O229+O149)), 0)</f>
        <v>1553.605248</v>
      </c>
      <c r="P480" s="196">
        <f>if(min(isa_limit,(P14+P229+P149))&gt;0, min(isa_limit,(P14+P229+P149)), 0)</f>
        <v>1553.605248</v>
      </c>
      <c r="Q480" s="196">
        <f>if(min(isa_limit,(Q14+Q229+Q149))&gt;0, min(isa_limit,(Q14+Q229+Q149)), 0)</f>
        <v>1553.605248</v>
      </c>
      <c r="R480" s="196">
        <f>if(min(isa_limit,(R14+R229+R149))&gt;0, min(isa_limit,(R14+R229+R149)), 0)</f>
        <v>1553.605248</v>
      </c>
      <c r="S480" s="196">
        <f>if(min(isa_limit,(S14+S229+S149))&gt;0, min(isa_limit,(S14+S229+S149)), 0)</f>
        <v>1553.605248</v>
      </c>
      <c r="T480" s="196">
        <f>if(min(isa_limit,(T14+T229+T149))&gt;0, min(isa_limit,(T14+T229+T149)), 0)</f>
        <v>1553.605248</v>
      </c>
      <c r="U480" s="196">
        <f>if(min(isa_limit,(U14+U229+U149))&gt;0, min(isa_limit,(U14+U229+U149)), 0)</f>
        <v>1553.605248</v>
      </c>
      <c r="V480" s="196">
        <f>if(min(isa_limit,(V14+V229+V149))&gt;0, min(isa_limit,(V14+V229+V149)), 0)</f>
        <v>1553.605248</v>
      </c>
      <c r="W480" s="196">
        <f>if(min(isa_limit,(W14+W229+W149))&gt;0, min(isa_limit,(W14+W229+W149)), 0)</f>
        <v>1553.605248</v>
      </c>
      <c r="X480" s="196">
        <f>if(min(isa_limit,(X14+X229+X149))&gt;0, min(isa_limit,(X14+X229+X149)), 0)</f>
        <v>1553.605248</v>
      </c>
      <c r="Y480" s="196">
        <f>if(min(isa_limit,(Y14+Y229+Y149))&gt;0, min(isa_limit,(Y14+Y229+Y149)), 0)</f>
        <v>1553.605248</v>
      </c>
      <c r="Z480" s="196">
        <f>if(min(isa_limit,(Z14+Z229+Z149))&gt;0, min(isa_limit,(Z14+Z229+Z149)), 0)</f>
        <v>1553.605248</v>
      </c>
      <c r="AA480" s="196">
        <f>if(min(isa_limit,(AA14+AA229+AA149))&gt;0, min(isa_limit,(AA14+AA229+AA149)), 0)</f>
        <v>1553.605248</v>
      </c>
      <c r="AB480" s="196">
        <f>if(min(isa_limit,(AB14+AB229+AB149))&gt;0, min(isa_limit,(AB14+AB229+AB149)), 0)</f>
        <v>1553.605248</v>
      </c>
      <c r="AC480" s="196">
        <f>if(min(isa_limit,(AC14+AC229+AC149))&gt;0, min(isa_limit,(AC14+AC229+AC149)), 0)</f>
        <v>20000</v>
      </c>
      <c r="AD480" s="196">
        <f>if(min(isa_limit,(AD14+AD229+AD149))&gt;0, min(isa_limit,(AD14+AD229+AD149)), 0)</f>
        <v>20000</v>
      </c>
      <c r="AE480" s="196">
        <f>if(min(isa_limit,(AE14+AE229+AE149))&gt;0, min(isa_limit,(AE14+AE229+AE149)), 0)</f>
        <v>20000</v>
      </c>
      <c r="AF480" s="196">
        <f>if(min(isa_limit,(AF14+AF229+AF149))&gt;0, min(isa_limit,(AF14+AF229+AF149)), 0)</f>
        <v>20000</v>
      </c>
      <c r="AG480" s="196">
        <f>if(min(isa_limit,(AG14+AG229+AG149))&gt;0, min(isa_limit,(AG14+AG229+AG149)), 0)</f>
        <v>20000</v>
      </c>
      <c r="AH480" s="196">
        <f>if(min(isa_limit,(AH14+AH229+AH149))&gt;0, min(isa_limit,(AH14+AH229+AH149)), 0)</f>
        <v>20000</v>
      </c>
      <c r="AI480" s="196">
        <f>if(min(isa_limit,(AI14+AI229+AI149))&gt;0, min(isa_limit,(AI14+AI229+AI149)), 0)</f>
        <v>20000</v>
      </c>
      <c r="AJ480" s="196">
        <f>if(min(isa_limit,(AJ14+AJ229+AJ149))&gt;0, min(isa_limit,(AJ14+AJ229+AJ149)), 0)</f>
        <v>20000</v>
      </c>
      <c r="AK480" s="196">
        <f>if(min(isa_limit,(AK14+AK229+AK149))&gt;0, min(isa_limit,(AK14+AK229+AK149)), 0)</f>
        <v>20000</v>
      </c>
      <c r="AL480" s="196">
        <f>if(min(isa_limit,(AL14+AL229+AL149))&gt;0, min(isa_limit,(AL14+AL229+AL149)), 0)</f>
        <v>20000</v>
      </c>
      <c r="AM480" s="196">
        <f>if(min(isa_limit,(AM14+AM229+AM149))&gt;0, min(isa_limit,(AM14+AM229+AM149)), 0)</f>
        <v>20000</v>
      </c>
      <c r="AN480" s="196">
        <f>if(min(isa_limit,(AN14+AN229+AN149))&gt;0, min(isa_limit,(AN14+AN229+AN149)), 0)</f>
        <v>20000</v>
      </c>
      <c r="AO480" s="196">
        <f>if(min(isa_limit,(AO14+AO229+AO149))&gt;0, min(isa_limit,(AO14+AO229+AO149)), 0)</f>
        <v>20000</v>
      </c>
      <c r="AP480" s="196">
        <f>if(min(isa_limit,(AP14+AP229+AP149))&gt;0, min(isa_limit,(AP14+AP229+AP149)), 0)</f>
        <v>20000</v>
      </c>
      <c r="AQ480" s="196">
        <f>if(min(isa_limit,(AQ14+AQ229+AQ149))&gt;0, min(isa_limit,(AQ14+AQ229+AQ149)), 0)</f>
        <v>20000</v>
      </c>
      <c r="AR480" s="196">
        <f>if(min(isa_limit,(AR14+AR229+AR149))&gt;0, min(isa_limit,(AR14+AR229+AR149)), 0)</f>
        <v>20000</v>
      </c>
      <c r="AS480" s="196">
        <f>if(min(isa_limit,(AS14+AS229+AS149))&gt;0, min(isa_limit,(AS14+AS229+AS149)), 0)</f>
        <v>20000</v>
      </c>
      <c r="AT480" s="196">
        <f>if(min(isa_limit,(AT14+AT229+AT149))&gt;0, min(isa_limit,(AT14+AT229+AT149)), 0)</f>
        <v>20000</v>
      </c>
      <c r="AU480" s="196">
        <f>if(min(isa_limit,(AU14+AU229+AU149))&gt;0, min(isa_limit,(AU14+AU229+AU149)), 0)</f>
        <v>20000</v>
      </c>
      <c r="AV480" s="196">
        <f>if(min(isa_limit,(AV14+AV229+AV149))&gt;0, min(isa_limit,(AV14+AV229+AV149)), 0)</f>
        <v>20000</v>
      </c>
      <c r="AW480" s="196">
        <f>if(min(isa_limit,(AW14+AW229+AW149))&gt;0, min(isa_limit,(AW14+AW229+AW149)), 0)</f>
        <v>20000</v>
      </c>
      <c r="AX480" s="196">
        <f>if(min(isa_limit,(AX14+AX229+AX149))&gt;0, min(isa_limit,(AX14+AX229+AX149)), 0)</f>
        <v>20000</v>
      </c>
      <c r="AY480" s="196">
        <f>if(min(isa_limit,(AY14+AY229+AY149))&gt;0, min(isa_limit,(AY14+AY229+AY149)), 0)</f>
        <v>20000</v>
      </c>
      <c r="AZ480" s="196">
        <f>if(min(isa_limit,(AZ14+AZ229+AZ149))&gt;0, min(isa_limit,(AZ14+AZ229+AZ149)), 0)</f>
        <v>20000</v>
      </c>
    </row>
    <row r="481">
      <c r="A481" s="168"/>
      <c r="B481" s="194" t="s">
        <v>468</v>
      </c>
      <c r="C481" s="287"/>
      <c r="D481" s="196">
        <f>D11</f>
        <v>0</v>
      </c>
      <c r="E481" s="196">
        <f>E490*msci_ann_div</f>
        <v>1640.483164</v>
      </c>
      <c r="F481" s="196">
        <f>F490*msci_ann_div</f>
        <v>1779.234838</v>
      </c>
      <c r="G481" s="196">
        <f>G490*msci_ann_div</f>
        <v>1927.935007</v>
      </c>
      <c r="H481" s="196">
        <f>H490*msci_ann_div</f>
        <v>2087.296979</v>
      </c>
      <c r="I481" s="196">
        <f>I490*msci_ann_div</f>
        <v>2258.085204</v>
      </c>
      <c r="J481" s="196">
        <f>J490*msci_ann_div</f>
        <v>2441.118944</v>
      </c>
      <c r="K481" s="196">
        <f>K490*msci_ann_div</f>
        <v>2637.276204</v>
      </c>
      <c r="L481" s="196">
        <f>L490*msci_ann_div</f>
        <v>2847.497939</v>
      </c>
      <c r="M481" s="196">
        <f>M490*msci_ann_div</f>
        <v>3072.792572</v>
      </c>
      <c r="N481" s="196">
        <f>N490*msci_ann_div</f>
        <v>3314.240831</v>
      </c>
      <c r="O481" s="196">
        <f>O490*msci_ann_div</f>
        <v>3573.00093</v>
      </c>
      <c r="P481" s="196">
        <f>P490*msci_ann_div</f>
        <v>3850.314128</v>
      </c>
      <c r="Q481" s="196">
        <f>Q490*msci_ann_div</f>
        <v>4147.510683</v>
      </c>
      <c r="R481" s="196">
        <f>R490*msci_ann_div</f>
        <v>4466.01623</v>
      </c>
      <c r="S481" s="196">
        <f>S490*msci_ann_div</f>
        <v>4807.358625</v>
      </c>
      <c r="T481" s="196">
        <f>T490*msci_ann_div</f>
        <v>5173.17527</v>
      </c>
      <c r="U481" s="196">
        <f>U490*msci_ann_div</f>
        <v>5565.220968</v>
      </c>
      <c r="V481" s="196">
        <f>V490*msci_ann_div</f>
        <v>5985.376343</v>
      </c>
      <c r="W481" s="196">
        <f>W490*msci_ann_div</f>
        <v>6435.656858</v>
      </c>
      <c r="X481" s="196">
        <f>X490*msci_ann_div</f>
        <v>6918.222486</v>
      </c>
      <c r="Y481" s="196">
        <f>Y490*msci_ann_div</f>
        <v>7435.38807</v>
      </c>
      <c r="Z481" s="196">
        <f>Z490*msci_ann_div</f>
        <v>7989.634426</v>
      </c>
      <c r="AA481" s="196">
        <f>AA490*msci_ann_div</f>
        <v>8583.620245</v>
      </c>
      <c r="AB481" s="196">
        <f>AB490*msci_ann_div</f>
        <v>9220.194848</v>
      </c>
      <c r="AC481" s="196">
        <f>AC490*msci_ann_div</f>
        <v>10153.28282</v>
      </c>
      <c r="AD481" s="196">
        <f>AD490*msci_ann_div</f>
        <v>11153.2732</v>
      </c>
      <c r="AE481" s="196">
        <f>AE490*msci_ann_div</f>
        <v>12224.96289</v>
      </c>
      <c r="AF481" s="196">
        <f>AF490*msci_ann_div</f>
        <v>13373.49272</v>
      </c>
      <c r="AG481" s="196">
        <f>AG490*msci_ann_div</f>
        <v>14604.37215</v>
      </c>
      <c r="AH481" s="196">
        <f>AH490*msci_ann_div</f>
        <v>15923.50564</v>
      </c>
      <c r="AI481" s="196">
        <f>AI490*msci_ann_div</f>
        <v>17337.22099</v>
      </c>
      <c r="AJ481" s="196">
        <f>AJ490*msci_ann_div</f>
        <v>18852.29974</v>
      </c>
      <c r="AK481" s="196">
        <f>AK490*msci_ann_div</f>
        <v>20476.00963</v>
      </c>
      <c r="AL481" s="196">
        <f>AL490*msci_ann_div</f>
        <v>22216.13952</v>
      </c>
      <c r="AM481" s="196">
        <f>AM490*msci_ann_div</f>
        <v>24081.03672</v>
      </c>
      <c r="AN481" s="196">
        <f>AN490*msci_ann_div</f>
        <v>26079.64705</v>
      </c>
      <c r="AO481" s="196">
        <f>AO490*msci_ann_div</f>
        <v>28221.55775</v>
      </c>
      <c r="AP481" s="196">
        <f>AP490*msci_ann_div</f>
        <v>30517.04344</v>
      </c>
      <c r="AQ481" s="196">
        <f>AQ490*msci_ann_div</f>
        <v>32977.11545</v>
      </c>
      <c r="AR481" s="196">
        <f>AR490*msci_ann_div</f>
        <v>35613.57463</v>
      </c>
      <c r="AS481" s="196">
        <f>AS490*msci_ann_div</f>
        <v>38439.06793</v>
      </c>
      <c r="AT481" s="196">
        <f>AT490*msci_ann_div</f>
        <v>41467.1491</v>
      </c>
      <c r="AU481" s="196">
        <f>AU490*msci_ann_div</f>
        <v>44712.34369</v>
      </c>
      <c r="AV481" s="196">
        <f>AV490*msci_ann_div</f>
        <v>48190.21873</v>
      </c>
      <c r="AW481" s="196">
        <f>AW490*msci_ann_div</f>
        <v>51917.45742</v>
      </c>
      <c r="AX481" s="196">
        <f>AX490*msci_ann_div</f>
        <v>55911.93911</v>
      </c>
      <c r="AY481" s="196">
        <f>AY490*msci_ann_div</f>
        <v>60192.82515</v>
      </c>
      <c r="AZ481" s="196">
        <f>AZ490*msci_ann_div</f>
        <v>64780.65071</v>
      </c>
    </row>
    <row r="482">
      <c r="A482" s="168"/>
      <c r="B482" s="197" t="s">
        <v>484</v>
      </c>
      <c r="C482" s="192"/>
      <c r="D482" s="199">
        <f>SUM($D480:D480)*msci_ann_div</f>
        <v>0</v>
      </c>
      <c r="E482" s="199">
        <f>SUM($D480:E480)*msci_ann_div</f>
        <v>21.12903138</v>
      </c>
      <c r="F482" s="199">
        <f>SUM($D480:F480)*msci_ann_div</f>
        <v>42.25806276</v>
      </c>
      <c r="G482" s="199">
        <f>SUM($D480:G480)*msci_ann_div</f>
        <v>63.38709414</v>
      </c>
      <c r="H482" s="199">
        <f>SUM($D480:H480)*msci_ann_div</f>
        <v>84.51612552</v>
      </c>
      <c r="I482" s="199">
        <f>SUM($D480:I480)*msci_ann_div</f>
        <v>105.6451569</v>
      </c>
      <c r="J482" s="199">
        <f>SUM($D480:J480)*msci_ann_div</f>
        <v>126.7741883</v>
      </c>
      <c r="K482" s="199">
        <f>SUM($D480:K480)*msci_ann_div</f>
        <v>147.9032197</v>
      </c>
      <c r="L482" s="199">
        <f>SUM($D480:L480)*msci_ann_div</f>
        <v>169.032251</v>
      </c>
      <c r="M482" s="199">
        <f>SUM($D480:M480)*msci_ann_div</f>
        <v>190.1612824</v>
      </c>
      <c r="N482" s="199">
        <f>SUM($D480:N480)*msci_ann_div</f>
        <v>211.2903138</v>
      </c>
      <c r="O482" s="199">
        <f>SUM($D480:O480)*msci_ann_div</f>
        <v>232.4193452</v>
      </c>
      <c r="P482" s="199">
        <f>SUM($D480:P480)*msci_ann_div</f>
        <v>253.5483765</v>
      </c>
      <c r="Q482" s="199">
        <f>SUM($D480:Q480)*msci_ann_div</f>
        <v>274.6774079</v>
      </c>
      <c r="R482" s="199">
        <f>SUM($D480:R480)*msci_ann_div</f>
        <v>295.8064393</v>
      </c>
      <c r="S482" s="199">
        <f>SUM($D480:S480)*msci_ann_div</f>
        <v>316.9354707</v>
      </c>
      <c r="T482" s="199">
        <f>SUM($D480:T480)*msci_ann_div</f>
        <v>338.0645021</v>
      </c>
      <c r="U482" s="199">
        <f>SUM($D480:U480)*msci_ann_div</f>
        <v>359.1935334</v>
      </c>
      <c r="V482" s="199">
        <f>SUM($D480:V480)*msci_ann_div</f>
        <v>380.3225648</v>
      </c>
      <c r="W482" s="199">
        <f>SUM($D480:W480)*msci_ann_div</f>
        <v>401.4515962</v>
      </c>
      <c r="X482" s="199">
        <f>SUM($D480:X480)*msci_ann_div</f>
        <v>422.5806276</v>
      </c>
      <c r="Y482" s="199">
        <f>SUM($D480:Y480)*msci_ann_div</f>
        <v>443.709659</v>
      </c>
      <c r="Z482" s="199">
        <f>SUM($D480:Z480)*msci_ann_div</f>
        <v>464.8386903</v>
      </c>
      <c r="AA482" s="199">
        <f>SUM($D480:AA480)*msci_ann_div</f>
        <v>485.9677217</v>
      </c>
      <c r="AB482" s="199">
        <f>SUM($D480:AB480)*msci_ann_div</f>
        <v>507.0967531</v>
      </c>
      <c r="AC482" s="199">
        <f>SUM($D480:AC480)*msci_ann_div</f>
        <v>779.0967531</v>
      </c>
      <c r="AD482" s="199">
        <f>SUM($D480:AD480)*msci_ann_div</f>
        <v>1051.096753</v>
      </c>
      <c r="AE482" s="199">
        <f>SUM($D480:AE480)*msci_ann_div</f>
        <v>1323.096753</v>
      </c>
      <c r="AF482" s="199">
        <f>SUM($D480:AF480)*msci_ann_div</f>
        <v>1595.096753</v>
      </c>
      <c r="AG482" s="199">
        <f>SUM($D480:AG480)*msci_ann_div</f>
        <v>1867.096753</v>
      </c>
      <c r="AH482" s="199">
        <f>SUM($D480:AH480)*msci_ann_div</f>
        <v>2139.096753</v>
      </c>
      <c r="AI482" s="199">
        <f>SUM($D480:AI480)*msci_ann_div</f>
        <v>2411.096753</v>
      </c>
      <c r="AJ482" s="199">
        <f>SUM($D480:AJ480)*msci_ann_div</f>
        <v>2683.096753</v>
      </c>
      <c r="AK482" s="199">
        <f>SUM($D480:AK480)*msci_ann_div</f>
        <v>2955.096753</v>
      </c>
      <c r="AL482" s="199">
        <f>SUM($D480:AL480)*msci_ann_div</f>
        <v>3227.096753</v>
      </c>
      <c r="AM482" s="199">
        <f>SUM($D480:AM480)*msci_ann_div</f>
        <v>3499.096753</v>
      </c>
      <c r="AN482" s="199">
        <f>SUM($D480:AN480)*msci_ann_div</f>
        <v>3771.096753</v>
      </c>
      <c r="AO482" s="199">
        <f>SUM($D480:AO480)*msci_ann_div</f>
        <v>4043.096753</v>
      </c>
      <c r="AP482" s="199">
        <f>SUM($D480:AP480)*msci_ann_div</f>
        <v>4315.096753</v>
      </c>
      <c r="AQ482" s="199">
        <f>SUM($D480:AQ480)*msci_ann_div</f>
        <v>4587.096753</v>
      </c>
      <c r="AR482" s="199">
        <f>SUM($D480:AR480)*msci_ann_div</f>
        <v>4859.096753</v>
      </c>
      <c r="AS482" s="199">
        <f>SUM($D480:AS480)*msci_ann_div</f>
        <v>5131.096753</v>
      </c>
      <c r="AT482" s="199">
        <f>SUM($D480:AT480)*msci_ann_div</f>
        <v>5403.096753</v>
      </c>
      <c r="AU482" s="199">
        <f>SUM($D480:AU480)*msci_ann_div</f>
        <v>5675.096753</v>
      </c>
      <c r="AV482" s="199">
        <f>SUM($D480:AV480)*msci_ann_div</f>
        <v>5947.096753</v>
      </c>
      <c r="AW482" s="199">
        <f>SUM($D480:AW480)*msci_ann_div</f>
        <v>6219.096753</v>
      </c>
      <c r="AX482" s="199">
        <f>SUM($D480:AX480)*msci_ann_div</f>
        <v>6491.096753</v>
      </c>
      <c r="AY482" s="199">
        <f>SUM($D480:AY480)*msci_ann_div</f>
        <v>6763.096753</v>
      </c>
      <c r="AZ482" s="199">
        <f>SUM($D480:AZ480)*msci_ann_div</f>
        <v>7035.096753</v>
      </c>
    </row>
    <row r="483">
      <c r="A483" s="168"/>
      <c r="B483" s="168"/>
      <c r="C483" s="192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  <c r="AC483" s="168"/>
      <c r="AD483" s="168"/>
      <c r="AE483" s="168"/>
      <c r="AF483" s="168"/>
      <c r="AG483" s="168"/>
      <c r="AH483" s="168"/>
      <c r="AI483" s="168"/>
      <c r="AJ483" s="168"/>
      <c r="AK483" s="168"/>
      <c r="AL483" s="168"/>
      <c r="AM483" s="168"/>
      <c r="AN483" s="168"/>
      <c r="AO483" s="168"/>
      <c r="AP483" s="168"/>
      <c r="AQ483" s="168"/>
      <c r="AR483" s="168"/>
      <c r="AS483" s="168"/>
      <c r="AT483" s="168"/>
      <c r="AU483" s="168"/>
      <c r="AV483" s="168"/>
      <c r="AW483" s="168"/>
      <c r="AX483" s="168"/>
      <c r="AY483" s="168"/>
      <c r="AZ483" s="168"/>
    </row>
    <row r="484">
      <c r="A484" s="168"/>
      <c r="B484" s="168"/>
      <c r="C484" s="192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  <c r="AB484" s="168"/>
      <c r="AC484" s="168"/>
      <c r="AD484" s="168"/>
      <c r="AE484" s="168"/>
      <c r="AF484" s="168"/>
      <c r="AG484" s="168"/>
      <c r="AH484" s="168"/>
      <c r="AI484" s="168"/>
      <c r="AJ484" s="168"/>
      <c r="AK484" s="168"/>
      <c r="AL484" s="168"/>
      <c r="AM484" s="168"/>
      <c r="AN484" s="168"/>
      <c r="AO484" s="168"/>
      <c r="AP484" s="168"/>
      <c r="AQ484" s="168"/>
      <c r="AR484" s="168"/>
      <c r="AS484" s="168"/>
      <c r="AT484" s="168"/>
      <c r="AU484" s="168"/>
      <c r="AV484" s="168"/>
      <c r="AW484" s="168"/>
      <c r="AX484" s="168"/>
      <c r="AY484" s="168"/>
      <c r="AZ484" s="168"/>
    </row>
    <row r="485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  <c r="AB485" s="168"/>
      <c r="AC485" s="168"/>
      <c r="AD485" s="168"/>
      <c r="AE485" s="168"/>
      <c r="AF485" s="168"/>
      <c r="AG485" s="168"/>
      <c r="AH485" s="168"/>
      <c r="AI485" s="168"/>
      <c r="AJ485" s="168"/>
      <c r="AK485" s="168"/>
      <c r="AL485" s="168"/>
      <c r="AM485" s="168"/>
      <c r="AN485" s="168"/>
      <c r="AO485" s="168"/>
      <c r="AP485" s="168"/>
      <c r="AQ485" s="168"/>
      <c r="AR485" s="168"/>
      <c r="AS485" s="168"/>
      <c r="AT485" s="168"/>
      <c r="AU485" s="168"/>
      <c r="AV485" s="168"/>
      <c r="AW485" s="168"/>
      <c r="AX485" s="168"/>
      <c r="AY485" s="168"/>
      <c r="AZ485" s="168"/>
    </row>
    <row r="486">
      <c r="A486" s="168"/>
      <c r="B486" s="126" t="s">
        <v>340</v>
      </c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  <c r="AB486" s="168"/>
      <c r="AC486" s="168"/>
      <c r="AD486" s="168"/>
      <c r="AE486" s="168"/>
      <c r="AF486" s="168"/>
      <c r="AG486" s="168"/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168"/>
      <c r="AT486" s="168"/>
      <c r="AU486" s="168"/>
      <c r="AV486" s="168"/>
      <c r="AW486" s="168"/>
      <c r="AX486" s="168"/>
      <c r="AY486" s="168"/>
      <c r="AZ486" s="168"/>
    </row>
    <row r="487">
      <c r="A487" s="168"/>
      <c r="B487" s="168"/>
      <c r="C487" s="168"/>
      <c r="D487" s="85" t="s">
        <v>285</v>
      </c>
      <c r="E487" s="193">
        <v>46143.0</v>
      </c>
      <c r="F487" s="193">
        <v>46508.0</v>
      </c>
      <c r="G487" s="193">
        <v>46874.0</v>
      </c>
      <c r="H487" s="193">
        <v>47239.0</v>
      </c>
      <c r="I487" s="193">
        <v>47604.0</v>
      </c>
      <c r="J487" s="193">
        <v>47969.0</v>
      </c>
      <c r="K487" s="193">
        <v>48335.0</v>
      </c>
      <c r="L487" s="193">
        <v>48700.0</v>
      </c>
      <c r="M487" s="193">
        <v>49065.0</v>
      </c>
      <c r="N487" s="193">
        <v>49430.0</v>
      </c>
      <c r="O487" s="193">
        <v>49796.0</v>
      </c>
      <c r="P487" s="193">
        <v>50161.0</v>
      </c>
      <c r="Q487" s="193">
        <v>50526.0</v>
      </c>
      <c r="R487" s="193">
        <v>50891.0</v>
      </c>
      <c r="S487" s="193">
        <v>51257.0</v>
      </c>
      <c r="T487" s="193">
        <v>51622.0</v>
      </c>
      <c r="U487" s="193">
        <v>51987.0</v>
      </c>
      <c r="V487" s="193">
        <v>52352.0</v>
      </c>
      <c r="W487" s="193">
        <v>52718.0</v>
      </c>
      <c r="X487" s="193">
        <v>53083.0</v>
      </c>
      <c r="Y487" s="193">
        <v>53448.0</v>
      </c>
      <c r="Z487" s="193">
        <v>53813.0</v>
      </c>
      <c r="AA487" s="193">
        <v>54179.0</v>
      </c>
      <c r="AB487" s="193">
        <v>54544.0</v>
      </c>
      <c r="AC487" s="193">
        <v>54909.0</v>
      </c>
      <c r="AD487" s="193">
        <v>55274.0</v>
      </c>
      <c r="AE487" s="193">
        <v>55640.0</v>
      </c>
      <c r="AF487" s="193">
        <v>56005.0</v>
      </c>
      <c r="AG487" s="193">
        <v>56370.0</v>
      </c>
      <c r="AH487" s="193">
        <v>56735.0</v>
      </c>
      <c r="AI487" s="193">
        <v>57101.0</v>
      </c>
      <c r="AJ487" s="193">
        <v>57466.0</v>
      </c>
      <c r="AK487" s="193">
        <v>57831.0</v>
      </c>
      <c r="AL487" s="193">
        <v>58196.0</v>
      </c>
      <c r="AM487" s="193">
        <v>58562.0</v>
      </c>
      <c r="AN487" s="193">
        <v>58927.0</v>
      </c>
      <c r="AO487" s="193">
        <v>59292.0</v>
      </c>
      <c r="AP487" s="193">
        <v>59657.0</v>
      </c>
      <c r="AQ487" s="193">
        <v>60023.0</v>
      </c>
      <c r="AR487" s="193">
        <v>60388.0</v>
      </c>
      <c r="AS487" s="193">
        <v>60753.0</v>
      </c>
      <c r="AT487" s="193">
        <v>61118.0</v>
      </c>
      <c r="AU487" s="193">
        <v>61484.0</v>
      </c>
      <c r="AV487" s="193">
        <v>61849.0</v>
      </c>
      <c r="AW487" s="193">
        <v>62214.0</v>
      </c>
      <c r="AX487" s="193">
        <v>62579.0</v>
      </c>
      <c r="AY487" s="193">
        <v>62945.0</v>
      </c>
      <c r="AZ487" s="193">
        <v>63310.0</v>
      </c>
    </row>
    <row r="488">
      <c r="A488" s="168"/>
      <c r="B488" s="126" t="s">
        <v>485</v>
      </c>
      <c r="C488" s="168"/>
      <c r="D488" s="196">
        <f t="shared" ref="D488:AZ488" si="65">(1-$C$475)*D480</f>
        <v>0</v>
      </c>
      <c r="E488" s="196">
        <f t="shared" si="65"/>
        <v>1398.244724</v>
      </c>
      <c r="F488" s="196">
        <f t="shared" si="65"/>
        <v>1398.244724</v>
      </c>
      <c r="G488" s="196">
        <f t="shared" si="65"/>
        <v>1398.244724</v>
      </c>
      <c r="H488" s="196">
        <f t="shared" si="65"/>
        <v>1398.244724</v>
      </c>
      <c r="I488" s="196">
        <f t="shared" si="65"/>
        <v>1398.244724</v>
      </c>
      <c r="J488" s="196">
        <f t="shared" si="65"/>
        <v>1398.244724</v>
      </c>
      <c r="K488" s="196">
        <f t="shared" si="65"/>
        <v>1398.244724</v>
      </c>
      <c r="L488" s="196">
        <f t="shared" si="65"/>
        <v>1398.244724</v>
      </c>
      <c r="M488" s="196">
        <f t="shared" si="65"/>
        <v>1398.244724</v>
      </c>
      <c r="N488" s="196">
        <f t="shared" si="65"/>
        <v>1398.244724</v>
      </c>
      <c r="O488" s="196">
        <f t="shared" si="65"/>
        <v>1398.244724</v>
      </c>
      <c r="P488" s="196">
        <f t="shared" si="65"/>
        <v>1398.244724</v>
      </c>
      <c r="Q488" s="196">
        <f t="shared" si="65"/>
        <v>1398.244724</v>
      </c>
      <c r="R488" s="196">
        <f t="shared" si="65"/>
        <v>1398.244724</v>
      </c>
      <c r="S488" s="196">
        <f t="shared" si="65"/>
        <v>1398.244724</v>
      </c>
      <c r="T488" s="196">
        <f t="shared" si="65"/>
        <v>1398.244724</v>
      </c>
      <c r="U488" s="196">
        <f t="shared" si="65"/>
        <v>1398.244724</v>
      </c>
      <c r="V488" s="196">
        <f t="shared" si="65"/>
        <v>1398.244724</v>
      </c>
      <c r="W488" s="196">
        <f t="shared" si="65"/>
        <v>1398.244724</v>
      </c>
      <c r="X488" s="196">
        <f t="shared" si="65"/>
        <v>1398.244724</v>
      </c>
      <c r="Y488" s="196">
        <f t="shared" si="65"/>
        <v>1398.244724</v>
      </c>
      <c r="Z488" s="196">
        <f t="shared" si="65"/>
        <v>1398.244724</v>
      </c>
      <c r="AA488" s="196">
        <f t="shared" si="65"/>
        <v>1398.244724</v>
      </c>
      <c r="AB488" s="196">
        <f t="shared" si="65"/>
        <v>1398.244724</v>
      </c>
      <c r="AC488" s="196">
        <f t="shared" si="65"/>
        <v>18000</v>
      </c>
      <c r="AD488" s="196">
        <f t="shared" si="65"/>
        <v>18000</v>
      </c>
      <c r="AE488" s="196">
        <f t="shared" si="65"/>
        <v>18000</v>
      </c>
      <c r="AF488" s="196">
        <f t="shared" si="65"/>
        <v>18000</v>
      </c>
      <c r="AG488" s="196">
        <f t="shared" si="65"/>
        <v>18000</v>
      </c>
      <c r="AH488" s="196">
        <f t="shared" si="65"/>
        <v>18000</v>
      </c>
      <c r="AI488" s="196">
        <f t="shared" si="65"/>
        <v>18000</v>
      </c>
      <c r="AJ488" s="196">
        <f t="shared" si="65"/>
        <v>18000</v>
      </c>
      <c r="AK488" s="196">
        <f t="shared" si="65"/>
        <v>18000</v>
      </c>
      <c r="AL488" s="196">
        <f t="shared" si="65"/>
        <v>18000</v>
      </c>
      <c r="AM488" s="196">
        <f t="shared" si="65"/>
        <v>18000</v>
      </c>
      <c r="AN488" s="196">
        <f t="shared" si="65"/>
        <v>18000</v>
      </c>
      <c r="AO488" s="196">
        <f t="shared" si="65"/>
        <v>18000</v>
      </c>
      <c r="AP488" s="196">
        <f t="shared" si="65"/>
        <v>18000</v>
      </c>
      <c r="AQ488" s="196">
        <f t="shared" si="65"/>
        <v>18000</v>
      </c>
      <c r="AR488" s="196">
        <f t="shared" si="65"/>
        <v>18000</v>
      </c>
      <c r="AS488" s="196">
        <f t="shared" si="65"/>
        <v>18000</v>
      </c>
      <c r="AT488" s="196">
        <f t="shared" si="65"/>
        <v>18000</v>
      </c>
      <c r="AU488" s="196">
        <f t="shared" si="65"/>
        <v>18000</v>
      </c>
      <c r="AV488" s="196">
        <f t="shared" si="65"/>
        <v>18000</v>
      </c>
      <c r="AW488" s="196">
        <f t="shared" si="65"/>
        <v>18000</v>
      </c>
      <c r="AX488" s="196">
        <f t="shared" si="65"/>
        <v>18000</v>
      </c>
      <c r="AY488" s="196">
        <f t="shared" si="65"/>
        <v>18000</v>
      </c>
      <c r="AZ488" s="196">
        <f t="shared" si="65"/>
        <v>18000</v>
      </c>
    </row>
    <row r="489">
      <c r="A489" s="168"/>
      <c r="B489" s="139" t="s">
        <v>486</v>
      </c>
      <c r="C489" s="168"/>
      <c r="D489" s="196">
        <f t="shared" ref="D489:AZ489" si="66">$C$475*D480</f>
        <v>0</v>
      </c>
      <c r="E489" s="196">
        <f t="shared" si="66"/>
        <v>155.3605248</v>
      </c>
      <c r="F489" s="196">
        <f t="shared" si="66"/>
        <v>155.3605248</v>
      </c>
      <c r="G489" s="196">
        <f t="shared" si="66"/>
        <v>155.3605248</v>
      </c>
      <c r="H489" s="196">
        <f t="shared" si="66"/>
        <v>155.3605248</v>
      </c>
      <c r="I489" s="196">
        <f t="shared" si="66"/>
        <v>155.3605248</v>
      </c>
      <c r="J489" s="196">
        <f t="shared" si="66"/>
        <v>155.3605248</v>
      </c>
      <c r="K489" s="196">
        <f t="shared" si="66"/>
        <v>155.3605248</v>
      </c>
      <c r="L489" s="196">
        <f t="shared" si="66"/>
        <v>155.3605248</v>
      </c>
      <c r="M489" s="196">
        <f t="shared" si="66"/>
        <v>155.3605248</v>
      </c>
      <c r="N489" s="196">
        <f t="shared" si="66"/>
        <v>155.3605248</v>
      </c>
      <c r="O489" s="196">
        <f t="shared" si="66"/>
        <v>155.3605248</v>
      </c>
      <c r="P489" s="196">
        <f t="shared" si="66"/>
        <v>155.3605248</v>
      </c>
      <c r="Q489" s="196">
        <f t="shared" si="66"/>
        <v>155.3605248</v>
      </c>
      <c r="R489" s="196">
        <f t="shared" si="66"/>
        <v>155.3605248</v>
      </c>
      <c r="S489" s="196">
        <f t="shared" si="66"/>
        <v>155.3605248</v>
      </c>
      <c r="T489" s="196">
        <f t="shared" si="66"/>
        <v>155.3605248</v>
      </c>
      <c r="U489" s="196">
        <f t="shared" si="66"/>
        <v>155.3605248</v>
      </c>
      <c r="V489" s="196">
        <f t="shared" si="66"/>
        <v>155.3605248</v>
      </c>
      <c r="W489" s="196">
        <f t="shared" si="66"/>
        <v>155.3605248</v>
      </c>
      <c r="X489" s="196">
        <f t="shared" si="66"/>
        <v>155.3605248</v>
      </c>
      <c r="Y489" s="196">
        <f t="shared" si="66"/>
        <v>155.3605248</v>
      </c>
      <c r="Z489" s="196">
        <f t="shared" si="66"/>
        <v>155.3605248</v>
      </c>
      <c r="AA489" s="196">
        <f t="shared" si="66"/>
        <v>155.3605248</v>
      </c>
      <c r="AB489" s="196">
        <f t="shared" si="66"/>
        <v>155.3605248</v>
      </c>
      <c r="AC489" s="196">
        <f t="shared" si="66"/>
        <v>2000</v>
      </c>
      <c r="AD489" s="196">
        <f t="shared" si="66"/>
        <v>2000</v>
      </c>
      <c r="AE489" s="196">
        <f t="shared" si="66"/>
        <v>2000</v>
      </c>
      <c r="AF489" s="196">
        <f t="shared" si="66"/>
        <v>2000</v>
      </c>
      <c r="AG489" s="196">
        <f t="shared" si="66"/>
        <v>2000</v>
      </c>
      <c r="AH489" s="196">
        <f t="shared" si="66"/>
        <v>2000</v>
      </c>
      <c r="AI489" s="196">
        <f t="shared" si="66"/>
        <v>2000</v>
      </c>
      <c r="AJ489" s="196">
        <f t="shared" si="66"/>
        <v>2000</v>
      </c>
      <c r="AK489" s="196">
        <f t="shared" si="66"/>
        <v>2000</v>
      </c>
      <c r="AL489" s="196">
        <f t="shared" si="66"/>
        <v>2000</v>
      </c>
      <c r="AM489" s="196">
        <f t="shared" si="66"/>
        <v>2000</v>
      </c>
      <c r="AN489" s="196">
        <f t="shared" si="66"/>
        <v>2000</v>
      </c>
      <c r="AO489" s="196">
        <f t="shared" si="66"/>
        <v>2000</v>
      </c>
      <c r="AP489" s="196">
        <f t="shared" si="66"/>
        <v>2000</v>
      </c>
      <c r="AQ489" s="196">
        <f t="shared" si="66"/>
        <v>2000</v>
      </c>
      <c r="AR489" s="196">
        <f t="shared" si="66"/>
        <v>2000</v>
      </c>
      <c r="AS489" s="196">
        <f t="shared" si="66"/>
        <v>2000</v>
      </c>
      <c r="AT489" s="196">
        <f t="shared" si="66"/>
        <v>2000</v>
      </c>
      <c r="AU489" s="196">
        <f t="shared" si="66"/>
        <v>2000</v>
      </c>
      <c r="AV489" s="196">
        <f t="shared" si="66"/>
        <v>2000</v>
      </c>
      <c r="AW489" s="196">
        <f t="shared" si="66"/>
        <v>2000</v>
      </c>
      <c r="AX489" s="196">
        <f t="shared" si="66"/>
        <v>2000</v>
      </c>
      <c r="AY489" s="196">
        <f t="shared" si="66"/>
        <v>2000</v>
      </c>
      <c r="AZ489" s="196">
        <f t="shared" si="66"/>
        <v>2000</v>
      </c>
    </row>
    <row r="490">
      <c r="A490" s="168"/>
      <c r="B490" s="242" t="s">
        <v>487</v>
      </c>
      <c r="C490" s="168"/>
      <c r="D490" s="196">
        <f>D33</f>
        <v>111104</v>
      </c>
      <c r="E490" s="196">
        <f>D490*(1+msci_ann_gr)+sum(E488:E489)</f>
        <v>120623.762</v>
      </c>
      <c r="F490" s="196">
        <f>E490*(1+msci_ann_gr)+sum(F488:F489)</f>
        <v>130826.091</v>
      </c>
      <c r="G490" s="196">
        <f>F490*(1+msci_ann_gr)+sum(G488:G489)</f>
        <v>141759.927</v>
      </c>
      <c r="H490" s="196">
        <f>G490*(1+msci_ann_gr)+sum(H488:H489)</f>
        <v>153477.719</v>
      </c>
      <c r="I490" s="196">
        <f>H490*(1+msci_ann_gr)+sum(I488:I489)</f>
        <v>166035.6767</v>
      </c>
      <c r="J490" s="196">
        <f>I490*(1+msci_ann_gr)+sum(J488:J489)</f>
        <v>179494.04</v>
      </c>
      <c r="K490" s="196">
        <f>J490*(1+msci_ann_gr)+sum(K488:K489)</f>
        <v>193917.3679</v>
      </c>
      <c r="L490" s="196">
        <f>K490*(1+msci_ann_gr)+sum(L488:L489)</f>
        <v>209374.8484</v>
      </c>
      <c r="M490" s="196">
        <f>L490*(1+msci_ann_gr)+sum(M488:M489)</f>
        <v>225940.6303</v>
      </c>
      <c r="N490" s="196">
        <f>M490*(1+msci_ann_gr)+sum(N488:N489)</f>
        <v>243694.1788</v>
      </c>
      <c r="O490" s="196">
        <f>N490*(1+msci_ann_gr)+sum(O488:O489)</f>
        <v>262720.6566</v>
      </c>
      <c r="P490" s="196">
        <f>O490*(1+msci_ann_gr)+sum(P488:P489)</f>
        <v>283111.333</v>
      </c>
      <c r="Q490" s="196">
        <f>P490*(1+msci_ann_gr)+sum(Q488:Q489)</f>
        <v>304964.0208</v>
      </c>
      <c r="R490" s="196">
        <f>Q490*(1+msci_ann_gr)+sum(R488:R489)</f>
        <v>328383.5463</v>
      </c>
      <c r="S490" s="196">
        <f>R490*(1+msci_ann_gr)+sum(S488:S489)</f>
        <v>353482.2518</v>
      </c>
      <c r="T490" s="196">
        <f>S490*(1+msci_ann_gr)+sum(T488:T489)</f>
        <v>380380.5345</v>
      </c>
      <c r="U490" s="196">
        <f>T490*(1+msci_ann_gr)+sum(U488:U489)</f>
        <v>409207.4241</v>
      </c>
      <c r="V490" s="196">
        <f>U490*(1+msci_ann_gr)+sum(V488:V489)</f>
        <v>440101.2017</v>
      </c>
      <c r="W490" s="196">
        <f>V490*(1+msci_ann_gr)+sum(W488:W489)</f>
        <v>473210.0631</v>
      </c>
      <c r="X490" s="196">
        <f>W490*(1+msci_ann_gr)+sum(X488:X489)</f>
        <v>508692.8299</v>
      </c>
      <c r="Y490" s="196">
        <f>X490*(1+msci_ann_gr)+sum(Y488:Y489)</f>
        <v>546719.711</v>
      </c>
      <c r="Z490" s="196">
        <f>Y490*(1+msci_ann_gr)+sum(Z488:Z489)</f>
        <v>587473.1195</v>
      </c>
      <c r="AA490" s="196">
        <f>Z490*(1+msci_ann_gr)+sum(AA488:AA489)</f>
        <v>631148.5475</v>
      </c>
      <c r="AB490" s="196">
        <f>AA490*(1+msci_ann_gr)+sum(AB488:AB489)</f>
        <v>677955.5036</v>
      </c>
      <c r="AC490" s="196">
        <f>AB490*(1+msci_ann_gr)+sum(AC488:AC489)</f>
        <v>746564.9132</v>
      </c>
      <c r="AD490" s="196">
        <f>AC490*(1+msci_ann_gr)+sum(AD488:AD489)</f>
        <v>820093.6174</v>
      </c>
      <c r="AE490" s="196">
        <f>AD490*(1+msci_ann_gr)+sum(AE488:AE489)</f>
        <v>898894.3298</v>
      </c>
      <c r="AF490" s="196">
        <f>AE490*(1+msci_ann_gr)+sum(AF488:AF489)</f>
        <v>983345.0533</v>
      </c>
      <c r="AG490" s="196">
        <f>AF490*(1+msci_ann_gr)+sum(AG488:AG489)</f>
        <v>1073850.894</v>
      </c>
      <c r="AH490" s="196">
        <f>AG490*(1+msci_ann_gr)+sum(AH488:AH489)</f>
        <v>1170846.003</v>
      </c>
      <c r="AI490" s="196">
        <f>AH490*(1+msci_ann_gr)+sum(AI488:AI489)</f>
        <v>1274795.661</v>
      </c>
      <c r="AJ490" s="196">
        <f>AI490*(1+msci_ann_gr)+sum(AJ488:AJ489)</f>
        <v>1386198.51</v>
      </c>
      <c r="AK490" s="196">
        <f>AJ490*(1+msci_ann_gr)+sum(AK488:AK489)</f>
        <v>1505588.943</v>
      </c>
      <c r="AL490" s="196">
        <f>AK490*(1+msci_ann_gr)+sum(AL488:AL489)</f>
        <v>1633539.67</v>
      </c>
      <c r="AM490" s="196">
        <f>AL490*(1+msci_ann_gr)+sum(AM488:AM489)</f>
        <v>1770664.465</v>
      </c>
      <c r="AN490" s="196">
        <f>AM490*(1+msci_ann_gr)+sum(AN488:AN489)</f>
        <v>1917621.107</v>
      </c>
      <c r="AO490" s="196">
        <f>AN490*(1+msci_ann_gr)+sum(AO488:AO489)</f>
        <v>2075114.54</v>
      </c>
      <c r="AP490" s="196">
        <f>AO490*(1+msci_ann_gr)+sum(AP488:AP489)</f>
        <v>2243900.253</v>
      </c>
      <c r="AQ490" s="196">
        <f>AP490*(1+msci_ann_gr)+sum(AQ488:AQ489)</f>
        <v>2424787.901</v>
      </c>
      <c r="AR490" s="196">
        <f>AQ490*(1+msci_ann_gr)+sum(AR488:AR489)</f>
        <v>2618645.193</v>
      </c>
      <c r="AS490" s="196">
        <f>AR490*(1+msci_ann_gr)+sum(AS488:AS489)</f>
        <v>2826402.054</v>
      </c>
      <c r="AT490" s="196">
        <f>AS490*(1+msci_ann_gr)+sum(AT488:AT489)</f>
        <v>3049055.081</v>
      </c>
      <c r="AU490" s="196">
        <f>AT490*(1+msci_ann_gr)+sum(AU488:AU489)</f>
        <v>3287672.33</v>
      </c>
      <c r="AV490" s="196">
        <f>AU490*(1+msci_ann_gr)+sum(AV488:AV489)</f>
        <v>3543398.436</v>
      </c>
      <c r="AW490" s="196">
        <f>AV490*(1+msci_ann_gr)+sum(AW488:AW489)</f>
        <v>3817460.104</v>
      </c>
      <c r="AX490" s="196">
        <f>AW490*(1+msci_ann_gr)+sum(AX488:AX489)</f>
        <v>4111171.994</v>
      </c>
      <c r="AY490" s="196">
        <f>AX490*(1+msci_ann_gr)+sum(AY488:AY489)</f>
        <v>4425943.026</v>
      </c>
      <c r="AZ490" s="196">
        <f>AY490*(1+msci_ann_gr)+sum(AZ488:AZ489)</f>
        <v>4763283.14</v>
      </c>
    </row>
    <row r="491">
      <c r="A491" s="168"/>
      <c r="B491" s="197" t="s">
        <v>488</v>
      </c>
      <c r="C491" s="168"/>
      <c r="D491" s="199">
        <f>D482</f>
        <v>0</v>
      </c>
      <c r="E491" s="199">
        <f t="shared" ref="E491:AZ491" si="67">E490-E33+sum($E482:E482)-sum($E480:E480)</f>
        <v>21.12903138</v>
      </c>
      <c r="F491" s="199">
        <f t="shared" si="67"/>
        <v>174.7805905</v>
      </c>
      <c r="G491" s="199">
        <f t="shared" si="67"/>
        <v>468.9415909</v>
      </c>
      <c r="H491" s="199">
        <f t="shared" si="67"/>
        <v>912.1716081</v>
      </c>
      <c r="I491" s="199">
        <f t="shared" si="67"/>
        <v>1513.643939</v>
      </c>
      <c r="J491" s="199">
        <f t="shared" si="67"/>
        <v>2283.189606</v>
      </c>
      <c r="K491" s="199">
        <f t="shared" si="67"/>
        <v>3231.344516</v>
      </c>
      <c r="L491" s="199">
        <f t="shared" si="67"/>
        <v>4369.399999</v>
      </c>
      <c r="M491" s="199">
        <f t="shared" si="67"/>
        <v>5709.456977</v>
      </c>
      <c r="N491" s="199">
        <f t="shared" si="67"/>
        <v>7264.484003</v>
      </c>
      <c r="O491" s="199">
        <f t="shared" si="67"/>
        <v>9048.379479</v>
      </c>
      <c r="P491" s="199">
        <f t="shared" si="67"/>
        <v>11076.03832</v>
      </c>
      <c r="Q491" s="199">
        <f t="shared" si="67"/>
        <v>13363.42341</v>
      </c>
      <c r="R491" s="199">
        <f t="shared" si="67"/>
        <v>15927.64217</v>
      </c>
      <c r="S491" s="199">
        <f t="shared" si="67"/>
        <v>18787.02862</v>
      </c>
      <c r="T491" s="199">
        <f t="shared" si="67"/>
        <v>21961.23133</v>
      </c>
      <c r="U491" s="199">
        <f t="shared" si="67"/>
        <v>25471.30768</v>
      </c>
      <c r="V491" s="199">
        <f t="shared" si="67"/>
        <v>29339.82486</v>
      </c>
      <c r="W491" s="199">
        <f t="shared" si="67"/>
        <v>33590.96812</v>
      </c>
      <c r="X491" s="199">
        <f t="shared" si="67"/>
        <v>38250.65679</v>
      </c>
      <c r="Y491" s="199">
        <f t="shared" si="67"/>
        <v>43346.66865</v>
      </c>
      <c r="Z491" s="199">
        <f t="shared" si="67"/>
        <v>48908.77309</v>
      </c>
      <c r="AA491" s="199">
        <f t="shared" si="67"/>
        <v>54968.87402</v>
      </c>
      <c r="AB491" s="199">
        <f t="shared" si="67"/>
        <v>61561.16283</v>
      </c>
      <c r="AC491" s="199">
        <f t="shared" si="67"/>
        <v>68973.1534</v>
      </c>
      <c r="AD491" s="199">
        <f t="shared" si="67"/>
        <v>78566.72247</v>
      </c>
      <c r="AE491" s="199">
        <f t="shared" si="67"/>
        <v>90478.78679</v>
      </c>
      <c r="AF491" s="199">
        <f t="shared" si="67"/>
        <v>104856.0801</v>
      </c>
      <c r="AG491" s="199">
        <f t="shared" si="67"/>
        <v>121855.8569</v>
      </c>
      <c r="AH491" s="199">
        <f t="shared" si="67"/>
        <v>141646.6468</v>
      </c>
      <c r="AI491" s="199">
        <f t="shared" si="67"/>
        <v>164409.0632</v>
      </c>
      <c r="AJ491" s="199">
        <f t="shared" si="67"/>
        <v>190336.6692</v>
      </c>
      <c r="AK491" s="199">
        <f t="shared" si="67"/>
        <v>219636.9064</v>
      </c>
      <c r="AL491" s="199">
        <f t="shared" si="67"/>
        <v>252532.0903</v>
      </c>
      <c r="AM491" s="199">
        <f t="shared" si="67"/>
        <v>289260.476</v>
      </c>
      <c r="AN491" s="199">
        <f t="shared" si="67"/>
        <v>330077.4017</v>
      </c>
      <c r="AO491" s="199">
        <f t="shared" si="67"/>
        <v>375256.5134</v>
      </c>
      <c r="AP491" s="199">
        <f t="shared" si="67"/>
        <v>425091.0773</v>
      </c>
      <c r="AQ491" s="199">
        <f t="shared" si="67"/>
        <v>479895.387</v>
      </c>
      <c r="AR491" s="199">
        <f t="shared" si="67"/>
        <v>540006.2709</v>
      </c>
      <c r="AS491" s="199">
        <f t="shared" si="67"/>
        <v>605784.7079</v>
      </c>
      <c r="AT491" s="199">
        <f t="shared" si="67"/>
        <v>677617.5593</v>
      </c>
      <c r="AU491" s="199">
        <f t="shared" si="67"/>
        <v>755919.424</v>
      </c>
      <c r="AV491" s="199">
        <f t="shared" si="67"/>
        <v>841134.628</v>
      </c>
      <c r="AW491" s="199">
        <f t="shared" si="67"/>
        <v>933739.3553</v>
      </c>
      <c r="AX491" s="199">
        <f t="shared" si="67"/>
        <v>1034243.932</v>
      </c>
      <c r="AY491" s="199">
        <f t="shared" si="67"/>
        <v>1143195.276</v>
      </c>
      <c r="AZ491" s="199">
        <f t="shared" si="67"/>
        <v>1261179.517</v>
      </c>
    </row>
    <row r="492">
      <c r="A492" s="168"/>
      <c r="B492" s="168"/>
      <c r="C492" s="168"/>
      <c r="D492" s="209"/>
      <c r="E492" s="209"/>
      <c r="F492" s="209"/>
      <c r="G492" s="209"/>
      <c r="H492" s="209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  <c r="AC492" s="266"/>
      <c r="AD492" s="266"/>
      <c r="AE492" s="266"/>
      <c r="AF492" s="266"/>
      <c r="AG492" s="266"/>
      <c r="AH492" s="266"/>
      <c r="AI492" s="266"/>
      <c r="AJ492" s="266"/>
      <c r="AK492" s="266"/>
      <c r="AL492" s="266"/>
      <c r="AM492" s="266"/>
      <c r="AN492" s="266"/>
      <c r="AO492" s="266"/>
      <c r="AP492" s="266"/>
      <c r="AQ492" s="266"/>
      <c r="AR492" s="266"/>
      <c r="AS492" s="266"/>
      <c r="AT492" s="266"/>
      <c r="AU492" s="266"/>
      <c r="AV492" s="266"/>
      <c r="AW492" s="266"/>
      <c r="AX492" s="266"/>
      <c r="AY492" s="266"/>
      <c r="AZ492" s="266"/>
    </row>
    <row r="493">
      <c r="A493" s="168"/>
      <c r="B493" s="168"/>
      <c r="C493" s="168"/>
      <c r="D493" s="209"/>
      <c r="E493" s="209"/>
      <c r="F493" s="209"/>
      <c r="G493" s="209"/>
      <c r="H493" s="209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  <c r="AC493" s="266"/>
      <c r="AD493" s="266"/>
      <c r="AE493" s="266"/>
      <c r="AF493" s="266"/>
      <c r="AG493" s="266"/>
      <c r="AH493" s="266"/>
      <c r="AI493" s="266"/>
      <c r="AJ493" s="266"/>
      <c r="AK493" s="266"/>
      <c r="AL493" s="266"/>
      <c r="AM493" s="266"/>
      <c r="AN493" s="266"/>
      <c r="AO493" s="266"/>
      <c r="AP493" s="266"/>
      <c r="AQ493" s="266"/>
      <c r="AR493" s="266"/>
      <c r="AS493" s="266"/>
      <c r="AT493" s="266"/>
      <c r="AU493" s="266"/>
      <c r="AV493" s="266"/>
      <c r="AW493" s="266"/>
      <c r="AX493" s="266"/>
      <c r="AY493" s="266"/>
      <c r="AZ493" s="266"/>
    </row>
    <row r="494">
      <c r="A494" s="168"/>
      <c r="B494" s="168"/>
      <c r="C494" s="168"/>
      <c r="D494" s="209"/>
      <c r="E494" s="209"/>
      <c r="F494" s="209"/>
      <c r="G494" s="209"/>
      <c r="H494" s="209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  <c r="AC494" s="266"/>
      <c r="AD494" s="266"/>
      <c r="AE494" s="266"/>
      <c r="AF494" s="266"/>
      <c r="AG494" s="266"/>
      <c r="AH494" s="266"/>
      <c r="AI494" s="266"/>
      <c r="AJ494" s="266"/>
      <c r="AK494" s="266"/>
      <c r="AL494" s="266"/>
      <c r="AM494" s="266"/>
      <c r="AN494" s="266"/>
      <c r="AO494" s="266"/>
      <c r="AP494" s="266"/>
      <c r="AQ494" s="266"/>
      <c r="AR494" s="266"/>
      <c r="AS494" s="266"/>
      <c r="AT494" s="266"/>
      <c r="AU494" s="266"/>
      <c r="AV494" s="266"/>
      <c r="AW494" s="266"/>
      <c r="AX494" s="266"/>
      <c r="AY494" s="266"/>
      <c r="AZ494" s="266"/>
    </row>
    <row r="495">
      <c r="A495" s="168"/>
      <c r="B495" s="139" t="s">
        <v>309</v>
      </c>
      <c r="C495" s="168"/>
      <c r="D495" s="209"/>
      <c r="E495" s="209"/>
      <c r="F495" s="209"/>
      <c r="G495" s="209"/>
      <c r="H495" s="209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  <c r="AC495" s="266"/>
      <c r="AD495" s="266"/>
      <c r="AE495" s="266"/>
      <c r="AF495" s="266"/>
      <c r="AG495" s="266"/>
      <c r="AH495" s="266"/>
      <c r="AI495" s="266"/>
      <c r="AJ495" s="266"/>
      <c r="AK495" s="266"/>
      <c r="AL495" s="266"/>
      <c r="AM495" s="266"/>
      <c r="AN495" s="266"/>
      <c r="AO495" s="266"/>
      <c r="AP495" s="266"/>
      <c r="AQ495" s="266"/>
      <c r="AR495" s="266"/>
      <c r="AS495" s="266"/>
      <c r="AT495" s="266"/>
      <c r="AU495" s="266"/>
      <c r="AV495" s="266"/>
      <c r="AW495" s="266"/>
      <c r="AX495" s="266"/>
      <c r="AY495" s="266"/>
      <c r="AZ495" s="266"/>
    </row>
    <row r="496">
      <c r="A496" s="168"/>
      <c r="B496" s="168"/>
      <c r="C496" s="168"/>
      <c r="D496" s="267" t="s">
        <v>344</v>
      </c>
      <c r="E496" s="21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  <c r="AB496" s="168"/>
      <c r="AC496" s="168"/>
      <c r="AD496" s="168"/>
      <c r="AE496" s="168"/>
      <c r="AF496" s="168"/>
      <c r="AG496" s="168"/>
      <c r="AH496" s="168"/>
      <c r="AI496" s="168"/>
      <c r="AJ496" s="168"/>
      <c r="AK496" s="168"/>
      <c r="AL496" s="168"/>
      <c r="AM496" s="168"/>
      <c r="AN496" s="168"/>
      <c r="AO496" s="168"/>
      <c r="AP496" s="168"/>
      <c r="AQ496" s="168"/>
      <c r="AR496" s="168"/>
      <c r="AS496" s="168"/>
      <c r="AT496" s="168"/>
      <c r="AU496" s="168"/>
      <c r="AV496" s="168"/>
      <c r="AW496" s="168"/>
      <c r="AX496" s="168"/>
      <c r="AY496" s="168"/>
      <c r="AZ496" s="168"/>
    </row>
    <row r="497">
      <c r="A497" s="168"/>
      <c r="B497" s="168"/>
      <c r="C497" s="168"/>
      <c r="D497" s="268" t="s">
        <v>345</v>
      </c>
      <c r="E497" s="269" t="s">
        <v>251</v>
      </c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  <c r="AB497" s="168"/>
      <c r="AC497" s="168"/>
      <c r="AD497" s="168"/>
      <c r="AE497" s="168"/>
      <c r="AF497" s="168"/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168"/>
      <c r="AT497" s="168"/>
      <c r="AU497" s="168"/>
      <c r="AV497" s="168"/>
      <c r="AW497" s="168"/>
      <c r="AX497" s="168"/>
      <c r="AY497" s="168"/>
      <c r="AZ497" s="168"/>
    </row>
    <row r="498">
      <c r="A498" s="168"/>
      <c r="B498" s="175" t="str">
        <f>"1 year ("&amp;(Year(today())+1)&amp;")"</f>
        <v>1 year (2026)</v>
      </c>
      <c r="C498" s="168"/>
      <c r="D498" s="219">
        <f>E491</f>
        <v>21.12903138</v>
      </c>
      <c r="E498" s="217" t="str">
        <f t="shared" ref="E498:E501" si="68">D498/$H$65</f>
        <v>#DIV/0!</v>
      </c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  <c r="AB498" s="168"/>
      <c r="AC498" s="168"/>
      <c r="AD498" s="168"/>
      <c r="AE498" s="168"/>
      <c r="AF498" s="168"/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168"/>
      <c r="AT498" s="168"/>
      <c r="AU498" s="168"/>
      <c r="AV498" s="168"/>
      <c r="AW498" s="168"/>
      <c r="AX498" s="168"/>
      <c r="AY498" s="168"/>
      <c r="AZ498" s="168"/>
    </row>
    <row r="499">
      <c r="A499" s="168"/>
      <c r="B499" s="175" t="str">
        <f>"5 years ("&amp;(Year(today())+5)&amp;")"</f>
        <v>5 years (2030)</v>
      </c>
      <c r="C499" s="168"/>
      <c r="D499" s="219">
        <f>I491</f>
        <v>1513.643939</v>
      </c>
      <c r="E499" s="217" t="str">
        <f t="shared" si="68"/>
        <v>#DIV/0!</v>
      </c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  <c r="AB499" s="168"/>
      <c r="AC499" s="168"/>
      <c r="AD499" s="168"/>
      <c r="AE499" s="168"/>
      <c r="AF499" s="168"/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168"/>
      <c r="AT499" s="168"/>
      <c r="AU499" s="168"/>
      <c r="AV499" s="168"/>
      <c r="AW499" s="168"/>
      <c r="AX499" s="168"/>
      <c r="AY499" s="168"/>
      <c r="AZ499" s="168"/>
    </row>
    <row r="500">
      <c r="A500" s="168"/>
      <c r="B500" s="175" t="str">
        <f>"10 years ("&amp;(Year(today())+10)&amp;")"</f>
        <v>10 years (2035)</v>
      </c>
      <c r="C500" s="168"/>
      <c r="D500" s="219">
        <f>N491</f>
        <v>7264.484003</v>
      </c>
      <c r="E500" s="217" t="str">
        <f t="shared" si="68"/>
        <v>#DIV/0!</v>
      </c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  <c r="AB500" s="168"/>
      <c r="AC500" s="168"/>
      <c r="AD500" s="168"/>
      <c r="AE500" s="168"/>
      <c r="AF500" s="168"/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168"/>
      <c r="AT500" s="168"/>
      <c r="AU500" s="168"/>
      <c r="AV500" s="168"/>
      <c r="AW500" s="168"/>
      <c r="AX500" s="168"/>
      <c r="AY500" s="168"/>
      <c r="AZ500" s="168"/>
    </row>
    <row r="501">
      <c r="A501" s="168"/>
      <c r="B501" s="175" t="str">
        <f>"20 years ("&amp;(Year(today())+20)&amp;")"</f>
        <v>20 years (2045)</v>
      </c>
      <c r="C501" s="168"/>
      <c r="D501" s="219">
        <f>X491</f>
        <v>38250.65679</v>
      </c>
      <c r="E501" s="217" t="str">
        <f t="shared" si="68"/>
        <v>#DIV/0!</v>
      </c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  <c r="AB501" s="168"/>
      <c r="AC501" s="168"/>
      <c r="AD501" s="168"/>
      <c r="AE501" s="168"/>
      <c r="AF501" s="168"/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168"/>
      <c r="AT501" s="168"/>
      <c r="AU501" s="168"/>
      <c r="AV501" s="168"/>
      <c r="AW501" s="168"/>
      <c r="AX501" s="168"/>
      <c r="AY501" s="168"/>
      <c r="AZ501" s="168"/>
    </row>
    <row r="502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  <c r="AB502" s="168"/>
      <c r="AC502" s="168"/>
      <c r="AD502" s="168"/>
      <c r="AE502" s="168"/>
      <c r="AF502" s="168"/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168"/>
      <c r="AT502" s="168"/>
      <c r="AU502" s="168"/>
      <c r="AV502" s="168"/>
      <c r="AW502" s="168"/>
      <c r="AX502" s="168"/>
      <c r="AY502" s="168"/>
      <c r="AZ502" s="168"/>
    </row>
    <row r="503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  <c r="AB503" s="168"/>
      <c r="AC503" s="168"/>
      <c r="AD503" s="168"/>
      <c r="AE503" s="168"/>
      <c r="AF503" s="168"/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168"/>
      <c r="AT503" s="168"/>
      <c r="AU503" s="168"/>
      <c r="AV503" s="168"/>
      <c r="AW503" s="168"/>
      <c r="AX503" s="168"/>
      <c r="AY503" s="168"/>
      <c r="AZ503" s="168"/>
    </row>
    <row r="504">
      <c r="A504" s="167" t="s">
        <v>489</v>
      </c>
      <c r="B504" s="252" t="s">
        <v>490</v>
      </c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  <c r="AB504" s="168"/>
      <c r="AC504" s="168"/>
      <c r="AD504" s="168"/>
      <c r="AE504" s="168"/>
      <c r="AF504" s="168"/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168"/>
      <c r="AT504" s="168"/>
      <c r="AU504" s="168"/>
      <c r="AV504" s="168"/>
      <c r="AW504" s="168"/>
      <c r="AX504" s="168"/>
      <c r="AY504" s="168"/>
      <c r="AZ504" s="168"/>
    </row>
    <row r="505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  <c r="AB505" s="168"/>
      <c r="AC505" s="168"/>
      <c r="AD505" s="168"/>
      <c r="AE505" s="168"/>
      <c r="AF505" s="168"/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168"/>
      <c r="AT505" s="168"/>
      <c r="AU505" s="168"/>
      <c r="AV505" s="168"/>
      <c r="AW505" s="168"/>
      <c r="AX505" s="168"/>
      <c r="AY505" s="168"/>
      <c r="AZ505" s="168"/>
    </row>
    <row r="506">
      <c r="A506" s="168"/>
      <c r="B506" s="139" t="s">
        <v>280</v>
      </c>
      <c r="C506" s="170" t="s">
        <v>491</v>
      </c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  <c r="AB506" s="168"/>
      <c r="AC506" s="168"/>
      <c r="AD506" s="168"/>
      <c r="AE506" s="168"/>
      <c r="AF506" s="168"/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168"/>
      <c r="AT506" s="168"/>
      <c r="AU506" s="168"/>
      <c r="AV506" s="168"/>
      <c r="AW506" s="168"/>
      <c r="AX506" s="168"/>
      <c r="AY506" s="168"/>
      <c r="AZ506" s="168"/>
    </row>
    <row r="507">
      <c r="A507" s="168"/>
      <c r="B507" s="168"/>
      <c r="C507" s="224" t="s">
        <v>461</v>
      </c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  <c r="AB507" s="168"/>
      <c r="AC507" s="168"/>
      <c r="AD507" s="168"/>
      <c r="AE507" s="168"/>
      <c r="AF507" s="168"/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168"/>
      <c r="AT507" s="168"/>
      <c r="AU507" s="168"/>
      <c r="AV507" s="168"/>
      <c r="AW507" s="168"/>
      <c r="AX507" s="168"/>
      <c r="AY507" s="168"/>
      <c r="AZ507" s="168"/>
    </row>
    <row r="508">
      <c r="A508" s="168"/>
      <c r="B508" s="168"/>
      <c r="C508" s="170" t="s">
        <v>462</v>
      </c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  <c r="AB508" s="168"/>
      <c r="AC508" s="168"/>
      <c r="AD508" s="168"/>
      <c r="AE508" s="168"/>
      <c r="AF508" s="168"/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168"/>
      <c r="AT508" s="168"/>
      <c r="AU508" s="168"/>
      <c r="AV508" s="168"/>
      <c r="AW508" s="168"/>
      <c r="AX508" s="168"/>
      <c r="AY508" s="168"/>
      <c r="AZ508" s="168"/>
    </row>
    <row r="509">
      <c r="A509" s="168"/>
      <c r="B509" s="168"/>
      <c r="C509" s="224" t="s">
        <v>492</v>
      </c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  <c r="AB509" s="168"/>
      <c r="AC509" s="168"/>
      <c r="AD509" s="168"/>
      <c r="AE509" s="168"/>
      <c r="AF509" s="168"/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168"/>
      <c r="AT509" s="168"/>
      <c r="AU509" s="168"/>
      <c r="AV509" s="168"/>
      <c r="AW509" s="168"/>
      <c r="AX509" s="168"/>
      <c r="AY509" s="168"/>
      <c r="AZ509" s="168"/>
    </row>
    <row r="510">
      <c r="A510" s="168"/>
      <c r="B510" s="168"/>
      <c r="C510" s="170" t="s">
        <v>493</v>
      </c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  <c r="AB510" s="168"/>
      <c r="AC510" s="168"/>
      <c r="AD510" s="168"/>
      <c r="AE510" s="168"/>
      <c r="AF510" s="168"/>
      <c r="AG510" s="168"/>
      <c r="AH510" s="168"/>
      <c r="AI510" s="168"/>
      <c r="AJ510" s="168"/>
      <c r="AK510" s="168"/>
      <c r="AL510" s="168"/>
      <c r="AM510" s="168"/>
      <c r="AN510" s="168"/>
      <c r="AO510" s="168"/>
      <c r="AP510" s="168"/>
      <c r="AQ510" s="168"/>
      <c r="AR510" s="168"/>
      <c r="AS510" s="168"/>
      <c r="AT510" s="168"/>
      <c r="AU510" s="168"/>
      <c r="AV510" s="168"/>
      <c r="AW510" s="168"/>
      <c r="AX510" s="168"/>
      <c r="AY510" s="168"/>
      <c r="AZ510" s="168"/>
    </row>
    <row r="511">
      <c r="A511" s="168"/>
      <c r="B511" s="270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  <c r="AB511" s="168"/>
      <c r="AC511" s="168"/>
      <c r="AD511" s="168"/>
      <c r="AE511" s="168"/>
      <c r="AF511" s="168"/>
      <c r="AG511" s="168"/>
      <c r="AH511" s="168"/>
      <c r="AI511" s="168"/>
      <c r="AJ511" s="168"/>
      <c r="AK511" s="168"/>
      <c r="AL511" s="168"/>
      <c r="AM511" s="168"/>
      <c r="AN511" s="168"/>
      <c r="AO511" s="168"/>
      <c r="AP511" s="168"/>
      <c r="AQ511" s="168"/>
      <c r="AR511" s="168"/>
      <c r="AS511" s="168"/>
      <c r="AT511" s="168"/>
      <c r="AU511" s="168"/>
      <c r="AV511" s="168"/>
      <c r="AW511" s="168"/>
      <c r="AX511" s="168"/>
      <c r="AY511" s="168"/>
      <c r="AZ511" s="168"/>
    </row>
    <row r="512">
      <c r="A512" s="168"/>
      <c r="B512" s="259" t="s">
        <v>314</v>
      </c>
      <c r="C512" s="173" t="s">
        <v>494</v>
      </c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  <c r="AB512" s="168"/>
      <c r="AC512" s="168"/>
      <c r="AD512" s="168"/>
      <c r="AE512" s="168"/>
      <c r="AF512" s="168"/>
      <c r="AG512" s="168"/>
      <c r="AH512" s="168"/>
      <c r="AI512" s="168"/>
      <c r="AJ512" s="168"/>
      <c r="AK512" s="168"/>
      <c r="AL512" s="168"/>
      <c r="AM512" s="168"/>
      <c r="AN512" s="168"/>
      <c r="AO512" s="168"/>
      <c r="AP512" s="168"/>
      <c r="AQ512" s="168"/>
      <c r="AR512" s="168"/>
      <c r="AS512" s="168"/>
      <c r="AT512" s="168"/>
      <c r="AU512" s="168"/>
      <c r="AV512" s="168"/>
      <c r="AW512" s="168"/>
      <c r="AX512" s="168"/>
      <c r="AY512" s="168"/>
      <c r="AZ512" s="168"/>
    </row>
    <row r="513">
      <c r="A513" s="168"/>
      <c r="B513" s="259" t="s">
        <v>316</v>
      </c>
      <c r="C513" s="173" t="s">
        <v>319</v>
      </c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  <c r="AB513" s="168"/>
      <c r="AC513" s="168"/>
      <c r="AD513" s="168"/>
      <c r="AE513" s="168"/>
      <c r="AF513" s="168"/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168"/>
      <c r="AT513" s="168"/>
      <c r="AU513" s="168"/>
      <c r="AV513" s="168"/>
      <c r="AW513" s="168"/>
      <c r="AX513" s="168"/>
      <c r="AY513" s="168"/>
      <c r="AZ513" s="168"/>
    </row>
    <row r="514">
      <c r="A514" s="168"/>
      <c r="B514" s="259" t="s">
        <v>318</v>
      </c>
      <c r="C514" s="173" t="s">
        <v>319</v>
      </c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  <c r="AB514" s="168"/>
      <c r="AC514" s="168"/>
      <c r="AD514" s="168"/>
      <c r="AE514" s="168"/>
      <c r="AF514" s="168"/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168"/>
      <c r="AT514" s="168"/>
      <c r="AU514" s="168"/>
      <c r="AV514" s="168"/>
      <c r="AW514" s="168"/>
      <c r="AX514" s="168"/>
      <c r="AY514" s="168"/>
      <c r="AZ514" s="168"/>
    </row>
    <row r="515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  <c r="AB515" s="168"/>
      <c r="AC515" s="168"/>
      <c r="AD515" s="168"/>
      <c r="AE515" s="168"/>
      <c r="AF515" s="168"/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168"/>
      <c r="AT515" s="168"/>
      <c r="AU515" s="168"/>
      <c r="AV515" s="168"/>
      <c r="AW515" s="168"/>
      <c r="AX515" s="168"/>
      <c r="AY515" s="168"/>
      <c r="AZ515" s="168"/>
    </row>
    <row r="516">
      <c r="A516" s="168"/>
      <c r="B516" s="260" t="s">
        <v>203</v>
      </c>
      <c r="C516" s="260" t="s">
        <v>440</v>
      </c>
      <c r="D516" s="85" t="s">
        <v>224</v>
      </c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  <c r="AB516" s="168"/>
      <c r="AC516" s="168"/>
      <c r="AD516" s="168"/>
      <c r="AE516" s="168"/>
      <c r="AF516" s="168"/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168"/>
      <c r="AT516" s="168"/>
      <c r="AU516" s="168"/>
      <c r="AV516" s="168"/>
      <c r="AW516" s="168"/>
      <c r="AX516" s="168"/>
      <c r="AY516" s="168"/>
      <c r="AZ516" s="168"/>
    </row>
    <row r="517">
      <c r="A517" s="168"/>
      <c r="B517" s="131" t="s">
        <v>495</v>
      </c>
      <c r="C517" s="272">
        <v>1.0</v>
      </c>
      <c r="D517" s="131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  <c r="AB517" s="168"/>
      <c r="AC517" s="168"/>
      <c r="AD517" s="168"/>
      <c r="AE517" s="168"/>
      <c r="AF517" s="168"/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168"/>
      <c r="AT517" s="168"/>
      <c r="AU517" s="168"/>
      <c r="AV517" s="168"/>
      <c r="AW517" s="168"/>
      <c r="AX517" s="168"/>
      <c r="AY517" s="168"/>
      <c r="AZ517" s="168"/>
    </row>
    <row r="518">
      <c r="A518" s="168"/>
      <c r="B518" s="131" t="s">
        <v>496</v>
      </c>
      <c r="C518" s="288">
        <f>sp_ann_gr</f>
        <v>0.1017</v>
      </c>
      <c r="D518" s="131" t="s">
        <v>497</v>
      </c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  <c r="AB518" s="168"/>
      <c r="AC518" s="168"/>
      <c r="AD518" s="168"/>
      <c r="AE518" s="168"/>
      <c r="AF518" s="168"/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168"/>
      <c r="AT518" s="168"/>
      <c r="AU518" s="168"/>
      <c r="AV518" s="168"/>
      <c r="AW518" s="168"/>
      <c r="AX518" s="168"/>
      <c r="AY518" s="168"/>
      <c r="AZ518" s="168"/>
    </row>
    <row r="519">
      <c r="A519" s="168"/>
      <c r="B519" s="131" t="s">
        <v>498</v>
      </c>
      <c r="C519" s="286">
        <f>inv_bal_bl*$C$517</f>
        <v>111104</v>
      </c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  <c r="AB519" s="168"/>
      <c r="AC519" s="168"/>
      <c r="AD519" s="168"/>
      <c r="AE519" s="168"/>
      <c r="AF519" s="168"/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168"/>
      <c r="AT519" s="168"/>
      <c r="AU519" s="168"/>
      <c r="AV519" s="168"/>
      <c r="AW519" s="168"/>
      <c r="AX519" s="168"/>
      <c r="AY519" s="168"/>
      <c r="AZ519" s="168"/>
    </row>
    <row r="520">
      <c r="A520" s="168"/>
      <c r="B520" s="139"/>
      <c r="C520" s="192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  <c r="AB520" s="168"/>
      <c r="AC520" s="168"/>
      <c r="AD520" s="168"/>
      <c r="AE520" s="168"/>
      <c r="AF520" s="168"/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168"/>
      <c r="AT520" s="168"/>
      <c r="AU520" s="168"/>
      <c r="AV520" s="168"/>
      <c r="AW520" s="168"/>
      <c r="AX520" s="168"/>
      <c r="AY520" s="168"/>
      <c r="AZ520" s="168"/>
    </row>
    <row r="521">
      <c r="A521" s="168"/>
      <c r="B521" s="139" t="s">
        <v>336</v>
      </c>
      <c r="C521" s="192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  <c r="AB521" s="168"/>
      <c r="AC521" s="168"/>
      <c r="AD521" s="168"/>
      <c r="AE521" s="168"/>
      <c r="AF521" s="168"/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168"/>
      <c r="AT521" s="168"/>
      <c r="AU521" s="168"/>
      <c r="AV521" s="168"/>
      <c r="AW521" s="168"/>
      <c r="AX521" s="168"/>
      <c r="AY521" s="168"/>
      <c r="AZ521" s="168"/>
    </row>
    <row r="522">
      <c r="A522" s="168"/>
      <c r="B522" s="168"/>
      <c r="C522" s="287"/>
      <c r="D522" s="85" t="s">
        <v>285</v>
      </c>
      <c r="E522" s="193">
        <v>46143.0</v>
      </c>
      <c r="F522" s="193">
        <v>46508.0</v>
      </c>
      <c r="G522" s="193">
        <v>46874.0</v>
      </c>
      <c r="H522" s="193">
        <v>47239.0</v>
      </c>
      <c r="I522" s="193">
        <v>47604.0</v>
      </c>
      <c r="J522" s="193">
        <v>47969.0</v>
      </c>
      <c r="K522" s="193">
        <v>48335.0</v>
      </c>
      <c r="L522" s="193">
        <v>48700.0</v>
      </c>
      <c r="M522" s="193">
        <v>49065.0</v>
      </c>
      <c r="N522" s="193">
        <v>49430.0</v>
      </c>
      <c r="O522" s="193">
        <v>49796.0</v>
      </c>
      <c r="P522" s="193">
        <v>50161.0</v>
      </c>
      <c r="Q522" s="193">
        <v>50526.0</v>
      </c>
      <c r="R522" s="193">
        <v>50891.0</v>
      </c>
      <c r="S522" s="193">
        <v>51257.0</v>
      </c>
      <c r="T522" s="193">
        <v>51622.0</v>
      </c>
      <c r="U522" s="193">
        <v>51987.0</v>
      </c>
      <c r="V522" s="193">
        <v>52352.0</v>
      </c>
      <c r="W522" s="193">
        <v>52718.0</v>
      </c>
      <c r="X522" s="193">
        <v>53083.0</v>
      </c>
      <c r="Y522" s="193">
        <v>53448.0</v>
      </c>
      <c r="Z522" s="193">
        <v>53813.0</v>
      </c>
      <c r="AA522" s="193">
        <v>54179.0</v>
      </c>
      <c r="AB522" s="193">
        <v>54544.0</v>
      </c>
      <c r="AC522" s="193">
        <v>54909.0</v>
      </c>
      <c r="AD522" s="193">
        <v>55274.0</v>
      </c>
      <c r="AE522" s="193">
        <v>55640.0</v>
      </c>
      <c r="AF522" s="193">
        <v>56005.0</v>
      </c>
      <c r="AG522" s="193">
        <v>56370.0</v>
      </c>
      <c r="AH522" s="193">
        <v>56735.0</v>
      </c>
      <c r="AI522" s="193">
        <v>57101.0</v>
      </c>
      <c r="AJ522" s="193">
        <v>57466.0</v>
      </c>
      <c r="AK522" s="193">
        <v>57831.0</v>
      </c>
      <c r="AL522" s="193">
        <v>58196.0</v>
      </c>
      <c r="AM522" s="193">
        <v>58562.0</v>
      </c>
      <c r="AN522" s="193">
        <v>58927.0</v>
      </c>
      <c r="AO522" s="193">
        <v>59292.0</v>
      </c>
      <c r="AP522" s="193">
        <v>59657.0</v>
      </c>
      <c r="AQ522" s="193">
        <v>60023.0</v>
      </c>
      <c r="AR522" s="193">
        <v>60388.0</v>
      </c>
      <c r="AS522" s="193">
        <v>60753.0</v>
      </c>
      <c r="AT522" s="193">
        <v>61118.0</v>
      </c>
      <c r="AU522" s="193">
        <v>61484.0</v>
      </c>
      <c r="AV522" s="193">
        <v>61849.0</v>
      </c>
      <c r="AW522" s="193">
        <v>62214.0</v>
      </c>
      <c r="AX522" s="193">
        <v>62579.0</v>
      </c>
      <c r="AY522" s="193">
        <v>62945.0</v>
      </c>
      <c r="AZ522" s="193">
        <v>63310.0</v>
      </c>
    </row>
    <row r="523">
      <c r="A523" s="168"/>
      <c r="B523" s="238" t="s">
        <v>499</v>
      </c>
      <c r="C523" s="287"/>
      <c r="D523" s="196">
        <f>D11</f>
        <v>0</v>
      </c>
      <c r="E523" s="196">
        <f>(E533)*msci_ann_div</f>
        <v>1619.354132</v>
      </c>
      <c r="F523" s="196">
        <f>(F533)*msci_ann_div</f>
        <v>1735.461824</v>
      </c>
      <c r="G523" s="196">
        <f>(G533)*msci_ann_div</f>
        <v>1859.894437</v>
      </c>
      <c r="H523" s="196">
        <f>(H533)*msci_ann_div</f>
        <v>1993.248868</v>
      </c>
      <c r="I523" s="196">
        <f>(I533)*msci_ann_div</f>
        <v>2136.164811</v>
      </c>
      <c r="J523" s="196">
        <f>(J533)*msci_ann_div</f>
        <v>2289.327828</v>
      </c>
      <c r="K523" s="196">
        <f>(K533)*msci_ann_div</f>
        <v>2453.472634</v>
      </c>
      <c r="L523" s="196">
        <f>(L533)*msci_ann_div</f>
        <v>2629.386622</v>
      </c>
      <c r="M523" s="196">
        <f>(M533)*msci_ann_div</f>
        <v>2817.913642</v>
      </c>
      <c r="N523" s="196">
        <f>(N533)*msci_ann_div</f>
        <v>3019.95805</v>
      </c>
      <c r="O523" s="196">
        <f>(O533)*msci_ann_div</f>
        <v>3236.489043</v>
      </c>
      <c r="P523" s="196">
        <f>(P533)*msci_ann_div</f>
        <v>3468.545307</v>
      </c>
      <c r="Q523" s="196">
        <f>(Q533)*msci_ann_div</f>
        <v>3717.240006</v>
      </c>
      <c r="R523" s="196">
        <f>(R533)*msci_ann_div</f>
        <v>3983.766114</v>
      </c>
      <c r="S523" s="196">
        <f>(S533)*msci_ann_div</f>
        <v>4269.402144</v>
      </c>
      <c r="T523" s="196">
        <f>(T533)*msci_ann_div</f>
        <v>4575.518278</v>
      </c>
      <c r="U523" s="196">
        <f>(U533)*msci_ann_div</f>
        <v>4903.582939</v>
      </c>
      <c r="V523" s="196">
        <f>(V533)*msci_ann_div</f>
        <v>5255.169835</v>
      </c>
      <c r="W523" s="196">
        <f>(W533)*msci_ann_div</f>
        <v>5631.965513</v>
      </c>
      <c r="X523" s="196">
        <f>(X533)*msci_ann_div</f>
        <v>6035.77744</v>
      </c>
      <c r="Y523" s="196">
        <f>(Y533)*msci_ann_div</f>
        <v>6468.542682</v>
      </c>
      <c r="Z523" s="196">
        <f>(Z533)*msci_ann_div</f>
        <v>6932.337193</v>
      </c>
      <c r="AA523" s="196">
        <f>(AA533)*msci_ann_div</f>
        <v>7429.385769</v>
      </c>
      <c r="AB523" s="196">
        <f>(AB533)*msci_ann_div</f>
        <v>7962.072729</v>
      </c>
      <c r="AC523" s="196">
        <f>(AC533)*msci_ann_div</f>
        <v>8532.953344</v>
      </c>
      <c r="AD523" s="196">
        <f>(AD533)*msci_ann_div</f>
        <v>9144.766098</v>
      </c>
      <c r="AE523" s="196">
        <f>(AE533)*msci_ann_div</f>
        <v>9800.445828</v>
      </c>
      <c r="AF523" s="196">
        <f>(AF533)*msci_ann_div</f>
        <v>10503.13779</v>
      </c>
      <c r="AG523" s="196">
        <f>(AG533)*msci_ann_div</f>
        <v>11256.21277</v>
      </c>
      <c r="AH523" s="196">
        <f>(AH533)*msci_ann_div</f>
        <v>12063.28323</v>
      </c>
      <c r="AI523" s="196">
        <f>(AI533)*msci_ann_div</f>
        <v>12928.22064</v>
      </c>
      <c r="AJ523" s="196">
        <f>(AJ533)*msci_ann_div</f>
        <v>13855.17406</v>
      </c>
      <c r="AK523" s="196">
        <f>(AK533)*msci_ann_div</f>
        <v>14848.59004</v>
      </c>
      <c r="AL523" s="196">
        <f>(AL533)*msci_ann_div</f>
        <v>15913.23394</v>
      </c>
      <c r="AM523" s="196">
        <f>(AM533)*msci_ann_div</f>
        <v>17054.21282</v>
      </c>
      <c r="AN523" s="196">
        <f>(AN533)*msci_ann_div</f>
        <v>18276.99987</v>
      </c>
      <c r="AO523" s="196">
        <f>(AO533)*msci_ann_div</f>
        <v>19587.46077</v>
      </c>
      <c r="AP523" s="196">
        <f>(AP533)*msci_ann_div</f>
        <v>20991.8817</v>
      </c>
      <c r="AQ523" s="196">
        <f>(AQ533)*msci_ann_div</f>
        <v>22496.99962</v>
      </c>
      <c r="AR523" s="196">
        <f>(AR533)*msci_ann_div</f>
        <v>24110.03449</v>
      </c>
      <c r="AS523" s="196">
        <f>(AS533)*msci_ann_div</f>
        <v>25838.72397</v>
      </c>
      <c r="AT523" s="196">
        <f>(AT533)*msci_ann_div</f>
        <v>27691.36047</v>
      </c>
      <c r="AU523" s="196">
        <f>(AU533)*msci_ann_div</f>
        <v>29676.83102</v>
      </c>
      <c r="AV523" s="196">
        <f>(AV533)*msci_ann_div</f>
        <v>31804.6598</v>
      </c>
      <c r="AW523" s="196">
        <f>(AW533)*msci_ann_div</f>
        <v>34085.05391</v>
      </c>
      <c r="AX523" s="196">
        <f>(AX533)*msci_ann_div</f>
        <v>36528.95228</v>
      </c>
      <c r="AY523" s="196">
        <f>(AY533)*msci_ann_div</f>
        <v>39148.07816</v>
      </c>
      <c r="AZ523" s="196">
        <f>(AZ533)*msci_ann_div</f>
        <v>41954.99536</v>
      </c>
    </row>
    <row r="524">
      <c r="A524" s="168"/>
      <c r="B524" s="238" t="s">
        <v>500</v>
      </c>
      <c r="C524" s="287"/>
      <c r="D524" s="196">
        <f>D11</f>
        <v>0</v>
      </c>
      <c r="E524" s="196">
        <f>E534*msci_ann_div</f>
        <v>0</v>
      </c>
      <c r="F524" s="196">
        <f>F534*msci_ann_div</f>
        <v>0</v>
      </c>
      <c r="G524" s="196">
        <f>G534*msci_ann_div</f>
        <v>0</v>
      </c>
      <c r="H524" s="196">
        <f>H534*msci_ann_div</f>
        <v>0</v>
      </c>
      <c r="I524" s="196">
        <f>I534*msci_ann_div</f>
        <v>0</v>
      </c>
      <c r="J524" s="196">
        <f>J534*msci_ann_div</f>
        <v>0</v>
      </c>
      <c r="K524" s="196">
        <f>K534*msci_ann_div</f>
        <v>0</v>
      </c>
      <c r="L524" s="196">
        <f>L534*msci_ann_div</f>
        <v>0</v>
      </c>
      <c r="M524" s="196">
        <f>M534*msci_ann_div</f>
        <v>0</v>
      </c>
      <c r="N524" s="196">
        <f>N534*msci_ann_div</f>
        <v>0</v>
      </c>
      <c r="O524" s="196">
        <f>O534*msci_ann_div</f>
        <v>0</v>
      </c>
      <c r="P524" s="196">
        <f>P534*msci_ann_div</f>
        <v>0</v>
      </c>
      <c r="Q524" s="196">
        <f>Q534*msci_ann_div</f>
        <v>0</v>
      </c>
      <c r="R524" s="196">
        <f>R534*msci_ann_div</f>
        <v>0</v>
      </c>
      <c r="S524" s="196">
        <f>S534*msci_ann_div</f>
        <v>0</v>
      </c>
      <c r="T524" s="196">
        <f>T534*msci_ann_div</f>
        <v>0</v>
      </c>
      <c r="U524" s="196">
        <f>U534*msci_ann_div</f>
        <v>0</v>
      </c>
      <c r="V524" s="196">
        <f>V534*msci_ann_div</f>
        <v>0</v>
      </c>
      <c r="W524" s="196">
        <f>W534*msci_ann_div</f>
        <v>0</v>
      </c>
      <c r="X524" s="196">
        <f>X534*msci_ann_div</f>
        <v>0</v>
      </c>
      <c r="Y524" s="196">
        <f>Y534*msci_ann_div</f>
        <v>0</v>
      </c>
      <c r="Z524" s="196">
        <f>Z534*msci_ann_div</f>
        <v>0</v>
      </c>
      <c r="AA524" s="196">
        <f>AA534*msci_ann_div</f>
        <v>0</v>
      </c>
      <c r="AB524" s="196">
        <f>AB534*msci_ann_div</f>
        <v>0</v>
      </c>
      <c r="AC524" s="196">
        <f>AC534*msci_ann_div</f>
        <v>0</v>
      </c>
      <c r="AD524" s="196">
        <f>AD534*msci_ann_div</f>
        <v>0</v>
      </c>
      <c r="AE524" s="196">
        <f>AE534*msci_ann_div</f>
        <v>0</v>
      </c>
      <c r="AF524" s="196">
        <f>AF534*msci_ann_div</f>
        <v>0</v>
      </c>
      <c r="AG524" s="196">
        <f>AG534*msci_ann_div</f>
        <v>0</v>
      </c>
      <c r="AH524" s="196">
        <f>AH534*msci_ann_div</f>
        <v>0</v>
      </c>
      <c r="AI524" s="196">
        <f>AI534*msci_ann_div</f>
        <v>0</v>
      </c>
      <c r="AJ524" s="196">
        <f>AJ534*msci_ann_div</f>
        <v>0</v>
      </c>
      <c r="AK524" s="196">
        <f>AK534*msci_ann_div</f>
        <v>0</v>
      </c>
      <c r="AL524" s="196">
        <f>AL534*msci_ann_div</f>
        <v>0</v>
      </c>
      <c r="AM524" s="196">
        <f>AM534*msci_ann_div</f>
        <v>0</v>
      </c>
      <c r="AN524" s="196">
        <f>AN534*msci_ann_div</f>
        <v>0</v>
      </c>
      <c r="AO524" s="196">
        <f>AO534*msci_ann_div</f>
        <v>0</v>
      </c>
      <c r="AP524" s="196">
        <f>AP534*msci_ann_div</f>
        <v>0</v>
      </c>
      <c r="AQ524" s="196">
        <f>AQ534*msci_ann_div</f>
        <v>0</v>
      </c>
      <c r="AR524" s="196">
        <f>AR534*msci_ann_div</f>
        <v>0</v>
      </c>
      <c r="AS524" s="196">
        <f>AS534*msci_ann_div</f>
        <v>0</v>
      </c>
      <c r="AT524" s="196">
        <f>AT534*msci_ann_div</f>
        <v>0</v>
      </c>
      <c r="AU524" s="196">
        <f>AU534*msci_ann_div</f>
        <v>0</v>
      </c>
      <c r="AV524" s="196">
        <f>AV534*msci_ann_div</f>
        <v>0</v>
      </c>
      <c r="AW524" s="196">
        <f>AW534*msci_ann_div</f>
        <v>0</v>
      </c>
      <c r="AX524" s="196">
        <f>AX534*msci_ann_div</f>
        <v>0</v>
      </c>
      <c r="AY524" s="196">
        <f>AY534*msci_ann_div</f>
        <v>0</v>
      </c>
      <c r="AZ524" s="196">
        <f>AZ534*msci_ann_div</f>
        <v>0</v>
      </c>
    </row>
    <row r="525">
      <c r="A525" s="168"/>
      <c r="B525" s="238" t="s">
        <v>501</v>
      </c>
      <c r="C525" s="287"/>
      <c r="D525" s="196">
        <f>D11</f>
        <v>0</v>
      </c>
      <c r="E525" s="196">
        <f>E535*sp_ann_div</f>
        <v>2117.576689</v>
      </c>
      <c r="F525" s="196">
        <f>F535*sp_ann_div</f>
        <v>2369.568315</v>
      </c>
      <c r="G525" s="196">
        <f>G535*sp_ann_div</f>
        <v>2651.546944</v>
      </c>
      <c r="H525" s="196">
        <f>H535*sp_ann_div</f>
        <v>2967.08103</v>
      </c>
      <c r="I525" s="196">
        <f>I535*sp_ann_div</f>
        <v>3320.163673</v>
      </c>
      <c r="J525" s="196">
        <f>J535*sp_ann_div</f>
        <v>3715.26315</v>
      </c>
      <c r="K525" s="196">
        <f>K535*sp_ann_div</f>
        <v>4157.379465</v>
      </c>
      <c r="L525" s="196">
        <f>L535*sp_ann_div</f>
        <v>4652.107621</v>
      </c>
      <c r="M525" s="196">
        <f>M535*sp_ann_div</f>
        <v>5205.708428</v>
      </c>
      <c r="N525" s="196">
        <f>N535*sp_ann_div</f>
        <v>5825.187731</v>
      </c>
      <c r="O525" s="196">
        <f>O535*sp_ann_div</f>
        <v>6518.385071</v>
      </c>
      <c r="P525" s="196">
        <f>P535*sp_ann_div</f>
        <v>7294.072895</v>
      </c>
      <c r="Q525" s="196">
        <f>Q535*sp_ann_div</f>
        <v>8162.067569</v>
      </c>
      <c r="R525" s="196">
        <f>R535*sp_ann_div</f>
        <v>9133.35361</v>
      </c>
      <c r="S525" s="196">
        <f>S535*sp_ann_div</f>
        <v>10220.22269</v>
      </c>
      <c r="T525" s="196">
        <f>T535*sp_ann_div</f>
        <v>11436.42919</v>
      </c>
      <c r="U525" s="196">
        <f>U535*sp_ann_div</f>
        <v>12797.36426</v>
      </c>
      <c r="V525" s="196">
        <f>V535*sp_ann_div</f>
        <v>14320.25061</v>
      </c>
      <c r="W525" s="196">
        <f>W535*sp_ann_div</f>
        <v>16024.36043</v>
      </c>
      <c r="X525" s="196">
        <f>X535*sp_ann_div</f>
        <v>17931.25932</v>
      </c>
      <c r="Y525" s="196">
        <f>Y535*sp_ann_div</f>
        <v>20065.07918</v>
      </c>
      <c r="Z525" s="196">
        <f>Z535*sp_ann_div</f>
        <v>22452.82361</v>
      </c>
      <c r="AA525" s="196">
        <f>AA535*sp_ann_div</f>
        <v>25124.70962</v>
      </c>
      <c r="AB525" s="196">
        <f>AB535*sp_ann_div</f>
        <v>28114.55006</v>
      </c>
      <c r="AC525" s="196">
        <f>AC535*sp_ann_div</f>
        <v>31460.18152</v>
      </c>
      <c r="AD525" s="196">
        <f>AD535*sp_ann_div</f>
        <v>35203.94312</v>
      </c>
      <c r="AE525" s="196">
        <f>AE535*sp_ann_div</f>
        <v>39393.21235</v>
      </c>
      <c r="AF525" s="196">
        <f>AF535*sp_ann_div</f>
        <v>44081.00462</v>
      </c>
      <c r="AG525" s="196">
        <f>AG535*sp_ann_div</f>
        <v>49326.64417</v>
      </c>
      <c r="AH525" s="196">
        <f>AH535*sp_ann_div</f>
        <v>55196.51482</v>
      </c>
      <c r="AI525" s="196">
        <f>AI535*sp_ann_div</f>
        <v>61764.90009</v>
      </c>
      <c r="AJ525" s="196">
        <f>AJ535*sp_ann_div</f>
        <v>69114.9232</v>
      </c>
      <c r="AK525" s="196">
        <f>AK535*sp_ann_div</f>
        <v>77339.59906</v>
      </c>
      <c r="AL525" s="196">
        <f>AL535*sp_ann_div</f>
        <v>86543.01135</v>
      </c>
      <c r="AM525" s="196">
        <f>AM535*sp_ann_div</f>
        <v>96841.6297</v>
      </c>
      <c r="AN525" s="196">
        <f>AN535*sp_ann_div</f>
        <v>108365.7836</v>
      </c>
      <c r="AO525" s="196">
        <f>AO535*sp_ann_div</f>
        <v>121261.3119</v>
      </c>
      <c r="AP525" s="196">
        <f>AP535*sp_ann_div</f>
        <v>135691.408</v>
      </c>
      <c r="AQ525" s="196">
        <f>AQ535*sp_ann_div</f>
        <v>151838.6856</v>
      </c>
      <c r="AR525" s="196">
        <f>AR535*sp_ann_div</f>
        <v>169907.4891</v>
      </c>
      <c r="AS525" s="196">
        <f>AS535*sp_ann_div</f>
        <v>190126.4803</v>
      </c>
      <c r="AT525" s="196">
        <f>AT535*sp_ann_div</f>
        <v>212751.5315</v>
      </c>
      <c r="AU525" s="196">
        <f>AU535*sp_ann_div</f>
        <v>238068.9637</v>
      </c>
      <c r="AV525" s="196">
        <f>AV535*sp_ann_div</f>
        <v>266399.1704</v>
      </c>
      <c r="AW525" s="196">
        <f>AW535*sp_ann_div</f>
        <v>298100.6717</v>
      </c>
      <c r="AX525" s="196">
        <f>AX535*sp_ann_div</f>
        <v>333574.6516</v>
      </c>
      <c r="AY525" s="196">
        <f>AY535*sp_ann_div</f>
        <v>373270.0352</v>
      </c>
      <c r="AZ525" s="196">
        <f>AZ535*sp_ann_div</f>
        <v>417689.1694</v>
      </c>
    </row>
    <row r="526">
      <c r="A526" s="168"/>
      <c r="B526" s="197" t="s">
        <v>502</v>
      </c>
      <c r="C526" s="192"/>
      <c r="D526" s="199">
        <f>D525</f>
        <v>0</v>
      </c>
      <c r="E526" s="199">
        <f t="shared" ref="E526:AZ526" si="69">SUM(E524:E525)-E523</f>
        <v>498.2225562</v>
      </c>
      <c r="F526" s="199">
        <f t="shared" si="69"/>
        <v>634.1064908</v>
      </c>
      <c r="G526" s="199">
        <f t="shared" si="69"/>
        <v>791.6525075</v>
      </c>
      <c r="H526" s="199">
        <f t="shared" si="69"/>
        <v>973.8321627</v>
      </c>
      <c r="I526" s="199">
        <f t="shared" si="69"/>
        <v>1183.998862</v>
      </c>
      <c r="J526" s="199">
        <f t="shared" si="69"/>
        <v>1425.935322</v>
      </c>
      <c r="K526" s="199">
        <f t="shared" si="69"/>
        <v>1703.906831</v>
      </c>
      <c r="L526" s="199">
        <f t="shared" si="69"/>
        <v>2022.721</v>
      </c>
      <c r="M526" s="199">
        <f t="shared" si="69"/>
        <v>2387.794786</v>
      </c>
      <c r="N526" s="199">
        <f t="shared" si="69"/>
        <v>2805.229681</v>
      </c>
      <c r="O526" s="199">
        <f t="shared" si="69"/>
        <v>3281.896028</v>
      </c>
      <c r="P526" s="199">
        <f t="shared" si="69"/>
        <v>3825.527588</v>
      </c>
      <c r="Q526" s="199">
        <f t="shared" si="69"/>
        <v>4444.827563</v>
      </c>
      <c r="R526" s="199">
        <f t="shared" si="69"/>
        <v>5149.587496</v>
      </c>
      <c r="S526" s="199">
        <f t="shared" si="69"/>
        <v>5950.820545</v>
      </c>
      <c r="T526" s="199">
        <f t="shared" si="69"/>
        <v>6860.910911</v>
      </c>
      <c r="U526" s="199">
        <f t="shared" si="69"/>
        <v>7893.781324</v>
      </c>
      <c r="V526" s="199">
        <f t="shared" si="69"/>
        <v>9065.080775</v>
      </c>
      <c r="W526" s="199">
        <f t="shared" si="69"/>
        <v>10392.39492</v>
      </c>
      <c r="X526" s="199">
        <f t="shared" si="69"/>
        <v>11895.48188</v>
      </c>
      <c r="Y526" s="199">
        <f t="shared" si="69"/>
        <v>13596.5365</v>
      </c>
      <c r="Z526" s="199">
        <f t="shared" si="69"/>
        <v>15520.48641</v>
      </c>
      <c r="AA526" s="199">
        <f t="shared" si="69"/>
        <v>17695.32385</v>
      </c>
      <c r="AB526" s="199">
        <f t="shared" si="69"/>
        <v>20152.47733</v>
      </c>
      <c r="AC526" s="199">
        <f t="shared" si="69"/>
        <v>22927.22817</v>
      </c>
      <c r="AD526" s="199">
        <f t="shared" si="69"/>
        <v>26059.17702</v>
      </c>
      <c r="AE526" s="199">
        <f t="shared" si="69"/>
        <v>29592.76652</v>
      </c>
      <c r="AF526" s="199">
        <f t="shared" si="69"/>
        <v>33577.86683</v>
      </c>
      <c r="AG526" s="199">
        <f t="shared" si="69"/>
        <v>38070.43139</v>
      </c>
      <c r="AH526" s="199">
        <f t="shared" si="69"/>
        <v>43133.2316</v>
      </c>
      <c r="AI526" s="199">
        <f t="shared" si="69"/>
        <v>48836.67945</v>
      </c>
      <c r="AJ526" s="199">
        <f t="shared" si="69"/>
        <v>55259.74914</v>
      </c>
      <c r="AK526" s="199">
        <f t="shared" si="69"/>
        <v>62491.00902</v>
      </c>
      <c r="AL526" s="199">
        <f t="shared" si="69"/>
        <v>70629.77741</v>
      </c>
      <c r="AM526" s="199">
        <f t="shared" si="69"/>
        <v>79787.41688</v>
      </c>
      <c r="AN526" s="199">
        <f t="shared" si="69"/>
        <v>90088.78376</v>
      </c>
      <c r="AO526" s="199">
        <f t="shared" si="69"/>
        <v>101673.8511</v>
      </c>
      <c r="AP526" s="199">
        <f t="shared" si="69"/>
        <v>114699.5263</v>
      </c>
      <c r="AQ526" s="199">
        <f t="shared" si="69"/>
        <v>129341.6859</v>
      </c>
      <c r="AR526" s="199">
        <f t="shared" si="69"/>
        <v>145797.4546</v>
      </c>
      <c r="AS526" s="199">
        <f t="shared" si="69"/>
        <v>164287.7564</v>
      </c>
      <c r="AT526" s="199">
        <f t="shared" si="69"/>
        <v>185060.171</v>
      </c>
      <c r="AU526" s="199">
        <f t="shared" si="69"/>
        <v>208392.1327</v>
      </c>
      <c r="AV526" s="199">
        <f t="shared" si="69"/>
        <v>234594.5106</v>
      </c>
      <c r="AW526" s="199">
        <f t="shared" si="69"/>
        <v>264015.6178</v>
      </c>
      <c r="AX526" s="199">
        <f t="shared" si="69"/>
        <v>297045.6994</v>
      </c>
      <c r="AY526" s="199">
        <f t="shared" si="69"/>
        <v>334121.957</v>
      </c>
      <c r="AZ526" s="199">
        <f t="shared" si="69"/>
        <v>375734.174</v>
      </c>
    </row>
    <row r="527">
      <c r="A527" s="168"/>
      <c r="B527" s="168"/>
      <c r="C527" s="192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  <c r="AB527" s="168"/>
      <c r="AC527" s="168"/>
      <c r="AD527" s="168"/>
      <c r="AE527" s="168"/>
      <c r="AF527" s="168"/>
      <c r="AG527" s="168"/>
      <c r="AH527" s="168"/>
      <c r="AI527" s="168"/>
      <c r="AJ527" s="168"/>
      <c r="AK527" s="168"/>
      <c r="AL527" s="168"/>
      <c r="AM527" s="168"/>
      <c r="AN527" s="168"/>
      <c r="AO527" s="168"/>
      <c r="AP527" s="168"/>
      <c r="AQ527" s="168"/>
      <c r="AR527" s="168"/>
      <c r="AS527" s="168"/>
      <c r="AT527" s="168"/>
      <c r="AU527" s="168"/>
      <c r="AV527" s="168"/>
      <c r="AW527" s="168"/>
      <c r="AX527" s="168"/>
      <c r="AY527" s="168"/>
      <c r="AZ527" s="168"/>
    </row>
    <row r="528">
      <c r="A528" s="168"/>
      <c r="B528" s="168"/>
      <c r="C528" s="192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  <c r="AB528" s="168"/>
      <c r="AC528" s="168"/>
      <c r="AD528" s="168"/>
      <c r="AE528" s="168"/>
      <c r="AF528" s="168"/>
      <c r="AG528" s="168"/>
      <c r="AH528" s="168"/>
      <c r="AI528" s="168"/>
      <c r="AJ528" s="168"/>
      <c r="AK528" s="168"/>
      <c r="AL528" s="168"/>
      <c r="AM528" s="168"/>
      <c r="AN528" s="168"/>
      <c r="AO528" s="168"/>
      <c r="AP528" s="168"/>
      <c r="AQ528" s="168"/>
      <c r="AR528" s="168"/>
      <c r="AS528" s="168"/>
      <c r="AT528" s="168"/>
      <c r="AU528" s="168"/>
      <c r="AV528" s="168"/>
      <c r="AW528" s="168"/>
      <c r="AX528" s="168"/>
      <c r="AY528" s="168"/>
      <c r="AZ528" s="168"/>
    </row>
    <row r="529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  <c r="AB529" s="168"/>
      <c r="AC529" s="168"/>
      <c r="AD529" s="168"/>
      <c r="AE529" s="168"/>
      <c r="AF529" s="168"/>
      <c r="AG529" s="168"/>
      <c r="AH529" s="168"/>
      <c r="AI529" s="168"/>
      <c r="AJ529" s="168"/>
      <c r="AK529" s="168"/>
      <c r="AL529" s="168"/>
      <c r="AM529" s="168"/>
      <c r="AN529" s="168"/>
      <c r="AO529" s="168"/>
      <c r="AP529" s="168"/>
      <c r="AQ529" s="168"/>
      <c r="AR529" s="168"/>
      <c r="AS529" s="168"/>
      <c r="AT529" s="168"/>
      <c r="AU529" s="168"/>
      <c r="AV529" s="168"/>
      <c r="AW529" s="168"/>
      <c r="AX529" s="168"/>
      <c r="AY529" s="168"/>
      <c r="AZ529" s="168"/>
    </row>
    <row r="530">
      <c r="A530" s="168"/>
      <c r="B530" s="126" t="s">
        <v>340</v>
      </c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  <c r="AB530" s="168"/>
      <c r="AC530" s="168"/>
      <c r="AD530" s="168"/>
      <c r="AE530" s="168"/>
      <c r="AF530" s="168"/>
      <c r="AG530" s="168"/>
      <c r="AH530" s="168"/>
      <c r="AI530" s="168"/>
      <c r="AJ530" s="168"/>
      <c r="AK530" s="168"/>
      <c r="AL530" s="168"/>
      <c r="AM530" s="168"/>
      <c r="AN530" s="168"/>
      <c r="AO530" s="168"/>
      <c r="AP530" s="168"/>
      <c r="AQ530" s="168"/>
      <c r="AR530" s="168"/>
      <c r="AS530" s="168"/>
      <c r="AT530" s="168"/>
      <c r="AU530" s="168"/>
      <c r="AV530" s="168"/>
      <c r="AW530" s="168"/>
      <c r="AX530" s="168"/>
      <c r="AY530" s="168"/>
      <c r="AZ530" s="168"/>
    </row>
    <row r="531">
      <c r="A531" s="168"/>
      <c r="B531" s="168"/>
      <c r="C531" s="168"/>
      <c r="D531" s="85" t="s">
        <v>285</v>
      </c>
      <c r="E531" s="193">
        <v>46143.0</v>
      </c>
      <c r="F531" s="193">
        <v>46508.0</v>
      </c>
      <c r="G531" s="193">
        <v>46874.0</v>
      </c>
      <c r="H531" s="193">
        <v>47239.0</v>
      </c>
      <c r="I531" s="193">
        <v>47604.0</v>
      </c>
      <c r="J531" s="193">
        <v>47969.0</v>
      </c>
      <c r="K531" s="193">
        <v>48335.0</v>
      </c>
      <c r="L531" s="193">
        <v>48700.0</v>
      </c>
      <c r="M531" s="193">
        <v>49065.0</v>
      </c>
      <c r="N531" s="193">
        <v>49430.0</v>
      </c>
      <c r="O531" s="193">
        <v>49796.0</v>
      </c>
      <c r="P531" s="193">
        <v>50161.0</v>
      </c>
      <c r="Q531" s="193">
        <v>50526.0</v>
      </c>
      <c r="R531" s="193">
        <v>50891.0</v>
      </c>
      <c r="S531" s="193">
        <v>51257.0</v>
      </c>
      <c r="T531" s="193">
        <v>51622.0</v>
      </c>
      <c r="U531" s="193">
        <v>51987.0</v>
      </c>
      <c r="V531" s="193">
        <v>52352.0</v>
      </c>
      <c r="W531" s="193">
        <v>52718.0</v>
      </c>
      <c r="X531" s="193">
        <v>53083.0</v>
      </c>
      <c r="Y531" s="193">
        <v>53448.0</v>
      </c>
      <c r="Z531" s="193">
        <v>53813.0</v>
      </c>
      <c r="AA531" s="193">
        <v>54179.0</v>
      </c>
      <c r="AB531" s="193">
        <v>54544.0</v>
      </c>
      <c r="AC531" s="193">
        <v>54909.0</v>
      </c>
      <c r="AD531" s="193">
        <v>55274.0</v>
      </c>
      <c r="AE531" s="193">
        <v>55640.0</v>
      </c>
      <c r="AF531" s="193">
        <v>56005.0</v>
      </c>
      <c r="AG531" s="193">
        <v>56370.0</v>
      </c>
      <c r="AH531" s="193">
        <v>56735.0</v>
      </c>
      <c r="AI531" s="193">
        <v>57101.0</v>
      </c>
      <c r="AJ531" s="193">
        <v>57466.0</v>
      </c>
      <c r="AK531" s="193">
        <v>57831.0</v>
      </c>
      <c r="AL531" s="193">
        <v>58196.0</v>
      </c>
      <c r="AM531" s="193">
        <v>58562.0</v>
      </c>
      <c r="AN531" s="193">
        <v>58927.0</v>
      </c>
      <c r="AO531" s="193">
        <v>59292.0</v>
      </c>
      <c r="AP531" s="193">
        <v>59657.0</v>
      </c>
      <c r="AQ531" s="193">
        <v>60023.0</v>
      </c>
      <c r="AR531" s="193">
        <v>60388.0</v>
      </c>
      <c r="AS531" s="193">
        <v>60753.0</v>
      </c>
      <c r="AT531" s="193">
        <v>61118.0</v>
      </c>
      <c r="AU531" s="193">
        <v>61484.0</v>
      </c>
      <c r="AV531" s="193">
        <v>61849.0</v>
      </c>
      <c r="AW531" s="193">
        <v>62214.0</v>
      </c>
      <c r="AX531" s="193">
        <v>62579.0</v>
      </c>
      <c r="AY531" s="193">
        <v>62945.0</v>
      </c>
      <c r="AZ531" s="193">
        <v>63310.0</v>
      </c>
    </row>
    <row r="532">
      <c r="A532" s="168"/>
      <c r="B532" s="139"/>
      <c r="C532" s="168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  <c r="AL532" s="196"/>
      <c r="AM532" s="196"/>
      <c r="AN532" s="196"/>
      <c r="AO532" s="196"/>
      <c r="AP532" s="196"/>
      <c r="AQ532" s="196"/>
      <c r="AR532" s="196"/>
      <c r="AS532" s="196"/>
      <c r="AT532" s="196"/>
      <c r="AU532" s="196"/>
      <c r="AV532" s="196"/>
      <c r="AW532" s="196"/>
      <c r="AX532" s="196"/>
      <c r="AY532" s="196"/>
      <c r="AZ532" s="196"/>
    </row>
    <row r="533">
      <c r="A533" s="168"/>
      <c r="B533" s="242" t="s">
        <v>503</v>
      </c>
      <c r="C533" s="168"/>
      <c r="D533" s="196">
        <f t="shared" ref="D533:AZ533" si="70">D33</f>
        <v>111104</v>
      </c>
      <c r="E533" s="196">
        <f t="shared" si="70"/>
        <v>119070.1568</v>
      </c>
      <c r="F533" s="196">
        <f t="shared" si="70"/>
        <v>127607.487</v>
      </c>
      <c r="G533" s="196">
        <f t="shared" si="70"/>
        <v>136756.9439</v>
      </c>
      <c r="H533" s="196">
        <f t="shared" si="70"/>
        <v>146562.4167</v>
      </c>
      <c r="I533" s="196">
        <f t="shared" si="70"/>
        <v>157070.942</v>
      </c>
      <c r="J533" s="196">
        <f t="shared" si="70"/>
        <v>168332.9286</v>
      </c>
      <c r="K533" s="196">
        <f t="shared" si="70"/>
        <v>180402.3995</v>
      </c>
      <c r="L533" s="196">
        <f t="shared" si="70"/>
        <v>193337.2516</v>
      </c>
      <c r="M533" s="196">
        <f t="shared" si="70"/>
        <v>207199.5325</v>
      </c>
      <c r="N533" s="196">
        <f t="shared" si="70"/>
        <v>222055.739</v>
      </c>
      <c r="O533" s="196">
        <f t="shared" si="70"/>
        <v>237977.1355</v>
      </c>
      <c r="P533" s="196">
        <f t="shared" si="70"/>
        <v>255040.0961</v>
      </c>
      <c r="Q533" s="196">
        <f t="shared" si="70"/>
        <v>273326.471</v>
      </c>
      <c r="R533" s="196">
        <f t="shared" si="70"/>
        <v>292923.979</v>
      </c>
      <c r="S533" s="196">
        <f t="shared" si="70"/>
        <v>313926.6283</v>
      </c>
      <c r="T533" s="196">
        <f t="shared" si="70"/>
        <v>336435.1675</v>
      </c>
      <c r="U533" s="196">
        <f t="shared" si="70"/>
        <v>360557.569</v>
      </c>
      <c r="V533" s="196">
        <f t="shared" si="70"/>
        <v>386409.5467</v>
      </c>
      <c r="W533" s="196">
        <f t="shared" si="70"/>
        <v>414115.1112</v>
      </c>
      <c r="X533" s="196">
        <f t="shared" si="70"/>
        <v>443807.1647</v>
      </c>
      <c r="Y533" s="196">
        <f t="shared" si="70"/>
        <v>475628.1384</v>
      </c>
      <c r="Z533" s="196">
        <f t="shared" si="70"/>
        <v>509730.6759</v>
      </c>
      <c r="AA533" s="196">
        <f t="shared" si="70"/>
        <v>546278.3654</v>
      </c>
      <c r="AB533" s="196">
        <f t="shared" si="70"/>
        <v>585446.5242</v>
      </c>
      <c r="AC533" s="196">
        <f t="shared" si="70"/>
        <v>627423.04</v>
      </c>
      <c r="AD533" s="196">
        <f t="shared" si="70"/>
        <v>672409.2719</v>
      </c>
      <c r="AE533" s="196">
        <f t="shared" si="70"/>
        <v>720621.0167</v>
      </c>
      <c r="AF533" s="196">
        <f t="shared" si="70"/>
        <v>772289.5436</v>
      </c>
      <c r="AG533" s="196">
        <f t="shared" si="70"/>
        <v>827662.7039</v>
      </c>
      <c r="AH533" s="196">
        <f t="shared" si="70"/>
        <v>887006.1198</v>
      </c>
      <c r="AI533" s="196">
        <f t="shared" si="70"/>
        <v>950604.4586</v>
      </c>
      <c r="AJ533" s="196">
        <f t="shared" si="70"/>
        <v>1018762.798</v>
      </c>
      <c r="AK533" s="196">
        <f t="shared" si="70"/>
        <v>1091808.091</v>
      </c>
      <c r="AL533" s="196">
        <f t="shared" si="70"/>
        <v>1170090.731</v>
      </c>
      <c r="AM533" s="196">
        <f t="shared" si="70"/>
        <v>1253986.236</v>
      </c>
      <c r="AN533" s="196">
        <f t="shared" si="70"/>
        <v>1343897.05</v>
      </c>
      <c r="AO533" s="196">
        <f t="shared" si="70"/>
        <v>1440254.468</v>
      </c>
      <c r="AP533" s="196">
        <f t="shared" si="70"/>
        <v>1543520.713</v>
      </c>
      <c r="AQ533" s="196">
        <f t="shared" si="70"/>
        <v>1654191.149</v>
      </c>
      <c r="AR533" s="196">
        <f t="shared" si="70"/>
        <v>1772796.654</v>
      </c>
      <c r="AS533" s="196">
        <f t="shared" si="70"/>
        <v>1899906.174</v>
      </c>
      <c r="AT533" s="196">
        <f t="shared" si="70"/>
        <v>2036129.447</v>
      </c>
      <c r="AU533" s="196">
        <f t="shared" si="70"/>
        <v>2182119.928</v>
      </c>
      <c r="AV533" s="196">
        <f t="shared" si="70"/>
        <v>2338577.927</v>
      </c>
      <c r="AW533" s="196">
        <f t="shared" si="70"/>
        <v>2506253.964</v>
      </c>
      <c r="AX533" s="196">
        <f t="shared" si="70"/>
        <v>2685952.373</v>
      </c>
      <c r="AY533" s="196">
        <f t="shared" si="70"/>
        <v>2878535.159</v>
      </c>
      <c r="AZ533" s="196">
        <f t="shared" si="70"/>
        <v>3084926.129</v>
      </c>
    </row>
    <row r="534">
      <c r="A534" s="168"/>
      <c r="B534" s="242" t="s">
        <v>504</v>
      </c>
      <c r="C534" s="168"/>
      <c r="D534" s="196">
        <f>(C519-D533)</f>
        <v>0</v>
      </c>
      <c r="E534" s="196">
        <f>D534*(1+msci_ann_gr)+D524</f>
        <v>0</v>
      </c>
      <c r="F534" s="196">
        <f>E534*(1+msci_ann_gr)+E524</f>
        <v>0</v>
      </c>
      <c r="G534" s="196">
        <f>F534*(1+msci_ann_gr)+F524</f>
        <v>0</v>
      </c>
      <c r="H534" s="196">
        <f>G534*(1+msci_ann_gr)+G524</f>
        <v>0</v>
      </c>
      <c r="I534" s="196">
        <f>H534*(1+msci_ann_gr)+H524</f>
        <v>0</v>
      </c>
      <c r="J534" s="196">
        <f>I534*(1+msci_ann_gr)+I524</f>
        <v>0</v>
      </c>
      <c r="K534" s="196">
        <f>J534*(1+msci_ann_gr)+J524</f>
        <v>0</v>
      </c>
      <c r="L534" s="196">
        <f>K534*(1+msci_ann_gr)+K524</f>
        <v>0</v>
      </c>
      <c r="M534" s="196">
        <f>L534*(1+msci_ann_gr)+L524</f>
        <v>0</v>
      </c>
      <c r="N534" s="196">
        <f>M534*(1+msci_ann_gr)+M524</f>
        <v>0</v>
      </c>
      <c r="O534" s="196">
        <f>N534*(1+msci_ann_gr)+N524</f>
        <v>0</v>
      </c>
      <c r="P534" s="196">
        <f>O534*(1+msci_ann_gr)+O524</f>
        <v>0</v>
      </c>
      <c r="Q534" s="196">
        <f>P534*(1+msci_ann_gr)+P524</f>
        <v>0</v>
      </c>
      <c r="R534" s="196">
        <f>Q534*(1+msci_ann_gr)+Q524</f>
        <v>0</v>
      </c>
      <c r="S534" s="196">
        <f>R534*(1+msci_ann_gr)+R524</f>
        <v>0</v>
      </c>
      <c r="T534" s="196">
        <f>S534*(1+msci_ann_gr)+S524</f>
        <v>0</v>
      </c>
      <c r="U534" s="196">
        <f>T534*(1+msci_ann_gr)+T524</f>
        <v>0</v>
      </c>
      <c r="V534" s="196">
        <f>U534*(1+msci_ann_gr)+U524</f>
        <v>0</v>
      </c>
      <c r="W534" s="196">
        <f>V534*(1+msci_ann_gr)+V524</f>
        <v>0</v>
      </c>
      <c r="X534" s="196">
        <f>W534*(1+msci_ann_gr)+W524</f>
        <v>0</v>
      </c>
      <c r="Y534" s="196">
        <f>X534*(1+msci_ann_gr)+X524</f>
        <v>0</v>
      </c>
      <c r="Z534" s="196">
        <f>Y534*(1+msci_ann_gr)+Y524</f>
        <v>0</v>
      </c>
      <c r="AA534" s="196">
        <f>Z534*(1+msci_ann_gr)+Z524</f>
        <v>0</v>
      </c>
      <c r="AB534" s="196">
        <f>AA534*(1+msci_ann_gr)+AA524</f>
        <v>0</v>
      </c>
      <c r="AC534" s="196">
        <f>AB534*(1+msci_ann_gr)+AB524</f>
        <v>0</v>
      </c>
      <c r="AD534" s="196">
        <f>AC534*(1+msci_ann_gr)+AC524</f>
        <v>0</v>
      </c>
      <c r="AE534" s="196">
        <f>AD534*(1+msci_ann_gr)+AD524</f>
        <v>0</v>
      </c>
      <c r="AF534" s="196">
        <f>AE534*(1+msci_ann_gr)+AE524</f>
        <v>0</v>
      </c>
      <c r="AG534" s="196">
        <f>AF534*(1+msci_ann_gr)+AF524</f>
        <v>0</v>
      </c>
      <c r="AH534" s="196">
        <f>AG534*(1+msci_ann_gr)+AG524</f>
        <v>0</v>
      </c>
      <c r="AI534" s="196">
        <f>AH534*(1+msci_ann_gr)+AH524</f>
        <v>0</v>
      </c>
      <c r="AJ534" s="196">
        <f>AI534*(1+msci_ann_gr)+AI524</f>
        <v>0</v>
      </c>
      <c r="AK534" s="196">
        <f>AJ534*(1+msci_ann_gr)+AJ524</f>
        <v>0</v>
      </c>
      <c r="AL534" s="196">
        <f>AK534*(1+msci_ann_gr)+AK524</f>
        <v>0</v>
      </c>
      <c r="AM534" s="196">
        <f>AL534*(1+msci_ann_gr)+AL524</f>
        <v>0</v>
      </c>
      <c r="AN534" s="196">
        <f>AM534*(1+msci_ann_gr)+AM524</f>
        <v>0</v>
      </c>
      <c r="AO534" s="196">
        <f>AN534*(1+msci_ann_gr)+AN524</f>
        <v>0</v>
      </c>
      <c r="AP534" s="196">
        <f>AO534*(1+msci_ann_gr)+AO524</f>
        <v>0</v>
      </c>
      <c r="AQ534" s="196">
        <f>AP534*(1+msci_ann_gr)+AP524</f>
        <v>0</v>
      </c>
      <c r="AR534" s="196">
        <f>AQ534*(1+msci_ann_gr)+AQ524</f>
        <v>0</v>
      </c>
      <c r="AS534" s="196">
        <f>AR534*(1+msci_ann_gr)+AR524</f>
        <v>0</v>
      </c>
      <c r="AT534" s="196">
        <f>AS534*(1+msci_ann_gr)+AS524</f>
        <v>0</v>
      </c>
      <c r="AU534" s="196">
        <f>AT534*(1+msci_ann_gr)+AT524</f>
        <v>0</v>
      </c>
      <c r="AV534" s="196">
        <f>AU534*(1+msci_ann_gr)+AU524</f>
        <v>0</v>
      </c>
      <c r="AW534" s="196">
        <f>AV534*(1+msci_ann_gr)+AV524</f>
        <v>0</v>
      </c>
      <c r="AX534" s="196">
        <f>AW534*(1+msci_ann_gr)+AW524</f>
        <v>0</v>
      </c>
      <c r="AY534" s="196">
        <f>AX534*(1+msci_ann_gr)+AX524</f>
        <v>0</v>
      </c>
      <c r="AZ534" s="196">
        <f>AY534*(1+msci_ann_gr)+AY524</f>
        <v>0</v>
      </c>
    </row>
    <row r="535">
      <c r="A535" s="168"/>
      <c r="B535" s="242" t="s">
        <v>505</v>
      </c>
      <c r="C535" s="168"/>
      <c r="D535" s="196">
        <f>C519</f>
        <v>111104</v>
      </c>
      <c r="E535" s="196">
        <f>D535*(1+sp_ann_gr)+D525</f>
        <v>122403.2768</v>
      </c>
      <c r="F535" s="196">
        <f>E535*(1+sp_ann_gr)+E525</f>
        <v>136969.2667</v>
      </c>
      <c r="G535" s="196">
        <f>F535*(1+sp_ann_gr)+F525</f>
        <v>153268.6095</v>
      </c>
      <c r="H535" s="196">
        <f>G535*(1+sp_ann_gr)+G525</f>
        <v>171507.574</v>
      </c>
      <c r="I535" s="196">
        <f>H535*(1+sp_ann_gr)+H525</f>
        <v>191916.9753</v>
      </c>
      <c r="J535" s="196">
        <f>I535*(1+sp_ann_gr)+I525</f>
        <v>214755.0954</v>
      </c>
      <c r="K535" s="196">
        <f>J535*(1+sp_ann_gr)+J525</f>
        <v>240310.9517</v>
      </c>
      <c r="L535" s="196">
        <f>K535*(1+sp_ann_gr)+K525</f>
        <v>268907.955</v>
      </c>
      <c r="M535" s="196">
        <f>L535*(1+sp_ann_gr)+L525</f>
        <v>300908.0016</v>
      </c>
      <c r="N535" s="196">
        <f>M535*(1+sp_ann_gr)+M525</f>
        <v>336716.0538</v>
      </c>
      <c r="O535" s="196">
        <f>N535*(1+sp_ann_gr)+N525</f>
        <v>376785.2642</v>
      </c>
      <c r="P535" s="196">
        <f>O535*(1+sp_ann_gr)+O525</f>
        <v>421622.7107</v>
      </c>
      <c r="Q535" s="196">
        <f>P535*(1+sp_ann_gr)+P525</f>
        <v>471795.8132</v>
      </c>
      <c r="R535" s="196">
        <f>Q535*(1+sp_ann_gr)+Q525</f>
        <v>527939.515</v>
      </c>
      <c r="S535" s="196">
        <f>R535*(1+sp_ann_gr)+R525</f>
        <v>590764.3173</v>
      </c>
      <c r="T535" s="196">
        <f>S535*(1+sp_ann_gr)+S525</f>
        <v>661065.2711</v>
      </c>
      <c r="U535" s="196">
        <f>T535*(1+sp_ann_gr)+T525</f>
        <v>739732.0383</v>
      </c>
      <c r="V535" s="196">
        <f>U535*(1+sp_ann_gr)+U525</f>
        <v>827760.1509</v>
      </c>
      <c r="W535" s="196">
        <f>V535*(1+sp_ann_gr)+V525</f>
        <v>926263.6088</v>
      </c>
      <c r="X535" s="196">
        <f>W535*(1+sp_ann_gr)+W525</f>
        <v>1036488.978</v>
      </c>
      <c r="Y535" s="196">
        <f>X535*(1+sp_ann_gr)+X525</f>
        <v>1159831.167</v>
      </c>
      <c r="Z535" s="196">
        <f>Y535*(1+sp_ann_gr)+Y525</f>
        <v>1297851.076</v>
      </c>
      <c r="AA535" s="196">
        <f>Z535*(1+sp_ann_gr)+Z525</f>
        <v>1452295.354</v>
      </c>
      <c r="AB535" s="196">
        <f>AA535*(1+sp_ann_gr)+AA525</f>
        <v>1625118.501</v>
      </c>
      <c r="AC535" s="196">
        <f>AB535*(1+sp_ann_gr)+AB525</f>
        <v>1818507.602</v>
      </c>
      <c r="AD535" s="196">
        <f>AC535*(1+sp_ann_gr)+AC525</f>
        <v>2034910.007</v>
      </c>
      <c r="AE535" s="196">
        <f>AD535*(1+sp_ann_gr)+AD525</f>
        <v>2277064.298</v>
      </c>
      <c r="AF535" s="196">
        <f>AE535*(1+sp_ann_gr)+AE525</f>
        <v>2548034.949</v>
      </c>
      <c r="AG535" s="196">
        <f>AF535*(1+sp_ann_gr)+AF525</f>
        <v>2851251.108</v>
      </c>
      <c r="AH535" s="196">
        <f>AG535*(1+sp_ann_gr)+AG525</f>
        <v>3190549.99</v>
      </c>
      <c r="AI535" s="196">
        <f>AH535*(1+sp_ann_gr)+AH525</f>
        <v>3570225.439</v>
      </c>
      <c r="AJ535" s="196">
        <f>AI535*(1+sp_ann_gr)+AI525</f>
        <v>3995082.266</v>
      </c>
      <c r="AK535" s="196">
        <f>AJ535*(1+sp_ann_gr)+AJ525</f>
        <v>4470497.055</v>
      </c>
      <c r="AL535" s="196">
        <f>AK535*(1+sp_ann_gr)+AK525</f>
        <v>5002486.205</v>
      </c>
      <c r="AM535" s="196">
        <f>AL535*(1+sp_ann_gr)+AL525</f>
        <v>5597782.063</v>
      </c>
      <c r="AN535" s="196">
        <f>AM535*(1+sp_ann_gr)+AM525</f>
        <v>6263918.129</v>
      </c>
      <c r="AO535" s="196">
        <f>AN535*(1+sp_ann_gr)+AN525</f>
        <v>7009324.386</v>
      </c>
      <c r="AP535" s="196">
        <f>AO535*(1+sp_ann_gr)+AO525</f>
        <v>7843433.988</v>
      </c>
      <c r="AQ535" s="196">
        <f>AP535*(1+sp_ann_gr)+AP525</f>
        <v>8776802.633</v>
      </c>
      <c r="AR535" s="196">
        <f>AQ535*(1+sp_ann_gr)+AQ525</f>
        <v>9821242.146</v>
      </c>
      <c r="AS535" s="196">
        <f>AR535*(1+sp_ann_gr)+AR525</f>
        <v>10989969.96</v>
      </c>
      <c r="AT535" s="196">
        <f>AS535*(1+sp_ann_gr)+AS525</f>
        <v>12297776.39</v>
      </c>
      <c r="AU535" s="196">
        <f>AT535*(1+sp_ann_gr)+AT525</f>
        <v>13761211.78</v>
      </c>
      <c r="AV535" s="196">
        <f>AU535*(1+sp_ann_gr)+AU525</f>
        <v>15398795.98</v>
      </c>
      <c r="AW535" s="196">
        <f>AV535*(1+sp_ann_gr)+AV525</f>
        <v>17231252.7</v>
      </c>
      <c r="AX535" s="196">
        <f>AW535*(1+sp_ann_gr)+AW525</f>
        <v>19281771.77</v>
      </c>
      <c r="AY535" s="196">
        <f>AX535*(1+sp_ann_gr)+AX525</f>
        <v>21576302.61</v>
      </c>
      <c r="AZ535" s="196">
        <f>AY535*(1+sp_ann_gr)+AY525</f>
        <v>24143882.62</v>
      </c>
    </row>
    <row r="536">
      <c r="A536" s="168"/>
      <c r="B536" s="242" t="s">
        <v>506</v>
      </c>
      <c r="C536" s="168"/>
      <c r="D536" s="196">
        <f t="shared" ref="D536:AZ536" si="71">SUM(D534:D535)</f>
        <v>111104</v>
      </c>
      <c r="E536" s="196">
        <f t="shared" si="71"/>
        <v>122403.2768</v>
      </c>
      <c r="F536" s="196">
        <f t="shared" si="71"/>
        <v>136969.2667</v>
      </c>
      <c r="G536" s="196">
        <f t="shared" si="71"/>
        <v>153268.6095</v>
      </c>
      <c r="H536" s="196">
        <f t="shared" si="71"/>
        <v>171507.574</v>
      </c>
      <c r="I536" s="196">
        <f t="shared" si="71"/>
        <v>191916.9753</v>
      </c>
      <c r="J536" s="196">
        <f t="shared" si="71"/>
        <v>214755.0954</v>
      </c>
      <c r="K536" s="196">
        <f t="shared" si="71"/>
        <v>240310.9517</v>
      </c>
      <c r="L536" s="196">
        <f t="shared" si="71"/>
        <v>268907.955</v>
      </c>
      <c r="M536" s="196">
        <f t="shared" si="71"/>
        <v>300908.0016</v>
      </c>
      <c r="N536" s="196">
        <f t="shared" si="71"/>
        <v>336716.0538</v>
      </c>
      <c r="O536" s="196">
        <f t="shared" si="71"/>
        <v>376785.2642</v>
      </c>
      <c r="P536" s="196">
        <f t="shared" si="71"/>
        <v>421622.7107</v>
      </c>
      <c r="Q536" s="196">
        <f t="shared" si="71"/>
        <v>471795.8132</v>
      </c>
      <c r="R536" s="196">
        <f t="shared" si="71"/>
        <v>527939.515</v>
      </c>
      <c r="S536" s="196">
        <f t="shared" si="71"/>
        <v>590764.3173</v>
      </c>
      <c r="T536" s="196">
        <f t="shared" si="71"/>
        <v>661065.2711</v>
      </c>
      <c r="U536" s="196">
        <f t="shared" si="71"/>
        <v>739732.0383</v>
      </c>
      <c r="V536" s="196">
        <f t="shared" si="71"/>
        <v>827760.1509</v>
      </c>
      <c r="W536" s="196">
        <f t="shared" si="71"/>
        <v>926263.6088</v>
      </c>
      <c r="X536" s="196">
        <f t="shared" si="71"/>
        <v>1036488.978</v>
      </c>
      <c r="Y536" s="196">
        <f t="shared" si="71"/>
        <v>1159831.167</v>
      </c>
      <c r="Z536" s="196">
        <f t="shared" si="71"/>
        <v>1297851.076</v>
      </c>
      <c r="AA536" s="196">
        <f t="shared" si="71"/>
        <v>1452295.354</v>
      </c>
      <c r="AB536" s="196">
        <f t="shared" si="71"/>
        <v>1625118.501</v>
      </c>
      <c r="AC536" s="196">
        <f t="shared" si="71"/>
        <v>1818507.602</v>
      </c>
      <c r="AD536" s="196">
        <f t="shared" si="71"/>
        <v>2034910.007</v>
      </c>
      <c r="AE536" s="196">
        <f t="shared" si="71"/>
        <v>2277064.298</v>
      </c>
      <c r="AF536" s="196">
        <f t="shared" si="71"/>
        <v>2548034.949</v>
      </c>
      <c r="AG536" s="196">
        <f t="shared" si="71"/>
        <v>2851251.108</v>
      </c>
      <c r="AH536" s="196">
        <f t="shared" si="71"/>
        <v>3190549.99</v>
      </c>
      <c r="AI536" s="196">
        <f t="shared" si="71"/>
        <v>3570225.439</v>
      </c>
      <c r="AJ536" s="196">
        <f t="shared" si="71"/>
        <v>3995082.266</v>
      </c>
      <c r="AK536" s="196">
        <f t="shared" si="71"/>
        <v>4470497.055</v>
      </c>
      <c r="AL536" s="196">
        <f t="shared" si="71"/>
        <v>5002486.205</v>
      </c>
      <c r="AM536" s="196">
        <f t="shared" si="71"/>
        <v>5597782.063</v>
      </c>
      <c r="AN536" s="196">
        <f t="shared" si="71"/>
        <v>6263918.129</v>
      </c>
      <c r="AO536" s="196">
        <f t="shared" si="71"/>
        <v>7009324.386</v>
      </c>
      <c r="AP536" s="196">
        <f t="shared" si="71"/>
        <v>7843433.988</v>
      </c>
      <c r="AQ536" s="196">
        <f t="shared" si="71"/>
        <v>8776802.633</v>
      </c>
      <c r="AR536" s="196">
        <f t="shared" si="71"/>
        <v>9821242.146</v>
      </c>
      <c r="AS536" s="196">
        <f t="shared" si="71"/>
        <v>10989969.96</v>
      </c>
      <c r="AT536" s="196">
        <f t="shared" si="71"/>
        <v>12297776.39</v>
      </c>
      <c r="AU536" s="196">
        <f t="shared" si="71"/>
        <v>13761211.78</v>
      </c>
      <c r="AV536" s="196">
        <f t="shared" si="71"/>
        <v>15398795.98</v>
      </c>
      <c r="AW536" s="196">
        <f t="shared" si="71"/>
        <v>17231252.7</v>
      </c>
      <c r="AX536" s="196">
        <f t="shared" si="71"/>
        <v>19281771.77</v>
      </c>
      <c r="AY536" s="196">
        <f t="shared" si="71"/>
        <v>21576302.61</v>
      </c>
      <c r="AZ536" s="196">
        <f t="shared" si="71"/>
        <v>24143882.62</v>
      </c>
    </row>
    <row r="537">
      <c r="A537" s="168"/>
      <c r="B537" s="242" t="s">
        <v>507</v>
      </c>
      <c r="C537" s="168"/>
      <c r="D537" s="199">
        <v>0.0</v>
      </c>
      <c r="E537" s="199">
        <f t="shared" ref="E537:AZ537" si="72">E536-E533+E526</f>
        <v>3831.342556</v>
      </c>
      <c r="F537" s="199">
        <f t="shared" si="72"/>
        <v>9995.886187</v>
      </c>
      <c r="G537" s="199">
        <f t="shared" si="72"/>
        <v>17303.31813</v>
      </c>
      <c r="H537" s="199">
        <f t="shared" si="72"/>
        <v>25918.98943</v>
      </c>
      <c r="I537" s="199">
        <f t="shared" si="72"/>
        <v>36030.03216</v>
      </c>
      <c r="J537" s="199">
        <f t="shared" si="72"/>
        <v>47848.10214</v>
      </c>
      <c r="K537" s="199">
        <f t="shared" si="72"/>
        <v>61612.45902</v>
      </c>
      <c r="L537" s="199">
        <f t="shared" si="72"/>
        <v>77593.4244</v>
      </c>
      <c r="M537" s="199">
        <f t="shared" si="72"/>
        <v>96096.26389</v>
      </c>
      <c r="N537" s="199">
        <f t="shared" si="72"/>
        <v>117465.5445</v>
      </c>
      <c r="O537" s="199">
        <f t="shared" si="72"/>
        <v>142090.0248</v>
      </c>
      <c r="P537" s="199">
        <f t="shared" si="72"/>
        <v>170408.1421</v>
      </c>
      <c r="Q537" s="199">
        <f t="shared" si="72"/>
        <v>202914.1698</v>
      </c>
      <c r="R537" s="199">
        <f t="shared" si="72"/>
        <v>240165.1235</v>
      </c>
      <c r="S537" s="199">
        <f t="shared" si="72"/>
        <v>282788.5096</v>
      </c>
      <c r="T537" s="199">
        <f t="shared" si="72"/>
        <v>331491.0145</v>
      </c>
      <c r="U537" s="199">
        <f t="shared" si="72"/>
        <v>387068.2506</v>
      </c>
      <c r="V537" s="199">
        <f t="shared" si="72"/>
        <v>450415.6849</v>
      </c>
      <c r="W537" s="199">
        <f t="shared" si="72"/>
        <v>522540.8925</v>
      </c>
      <c r="X537" s="199">
        <f t="shared" si="72"/>
        <v>604577.2955</v>
      </c>
      <c r="Y537" s="199">
        <f t="shared" si="72"/>
        <v>697799.5648</v>
      </c>
      <c r="Z537" s="199">
        <f t="shared" si="72"/>
        <v>803640.886</v>
      </c>
      <c r="AA537" s="199">
        <f t="shared" si="72"/>
        <v>923712.312</v>
      </c>
      <c r="AB537" s="199">
        <f t="shared" si="72"/>
        <v>1059824.454</v>
      </c>
      <c r="AC537" s="199">
        <f t="shared" si="72"/>
        <v>1214011.79</v>
      </c>
      <c r="AD537" s="199">
        <f t="shared" si="72"/>
        <v>1388559.912</v>
      </c>
      <c r="AE537" s="199">
        <f t="shared" si="72"/>
        <v>1586036.047</v>
      </c>
      <c r="AF537" s="199">
        <f t="shared" si="72"/>
        <v>1809323.272</v>
      </c>
      <c r="AG537" s="199">
        <f t="shared" si="72"/>
        <v>2061658.835</v>
      </c>
      <c r="AH537" s="199">
        <f t="shared" si="72"/>
        <v>2346677.102</v>
      </c>
      <c r="AI537" s="199">
        <f t="shared" si="72"/>
        <v>2668457.66</v>
      </c>
      <c r="AJ537" s="199">
        <f t="shared" si="72"/>
        <v>3031579.217</v>
      </c>
      <c r="AK537" s="199">
        <f t="shared" si="72"/>
        <v>3441179.974</v>
      </c>
      <c r="AL537" s="199">
        <f t="shared" si="72"/>
        <v>3903025.251</v>
      </c>
      <c r="AM537" s="199">
        <f t="shared" si="72"/>
        <v>4423583.244</v>
      </c>
      <c r="AN537" s="199">
        <f t="shared" si="72"/>
        <v>5010109.863</v>
      </c>
      <c r="AO537" s="199">
        <f t="shared" si="72"/>
        <v>5670743.769</v>
      </c>
      <c r="AP537" s="199">
        <f t="shared" si="72"/>
        <v>6414612.801</v>
      </c>
      <c r="AQ537" s="199">
        <f t="shared" si="72"/>
        <v>7251953.17</v>
      </c>
      <c r="AR537" s="199">
        <f t="shared" si="72"/>
        <v>8194242.947</v>
      </c>
      <c r="AS537" s="199">
        <f t="shared" si="72"/>
        <v>9254351.544</v>
      </c>
      <c r="AT537" s="199">
        <f t="shared" si="72"/>
        <v>10446707.11</v>
      </c>
      <c r="AU537" s="199">
        <f t="shared" si="72"/>
        <v>11787483.98</v>
      </c>
      <c r="AV537" s="199">
        <f t="shared" si="72"/>
        <v>13294812.56</v>
      </c>
      <c r="AW537" s="199">
        <f t="shared" si="72"/>
        <v>14989014.35</v>
      </c>
      <c r="AX537" s="199">
        <f t="shared" si="72"/>
        <v>16892865.1</v>
      </c>
      <c r="AY537" s="199">
        <f t="shared" si="72"/>
        <v>19031889.41</v>
      </c>
      <c r="AZ537" s="199">
        <f t="shared" si="72"/>
        <v>21434690.67</v>
      </c>
    </row>
    <row r="538">
      <c r="A538" s="168"/>
      <c r="B538" s="168"/>
      <c r="C538" s="168"/>
      <c r="D538" s="209"/>
      <c r="E538" s="209"/>
      <c r="F538" s="209"/>
      <c r="G538" s="209"/>
      <c r="H538" s="209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  <c r="AC538" s="266"/>
      <c r="AD538" s="266"/>
      <c r="AE538" s="266"/>
      <c r="AF538" s="266"/>
      <c r="AG538" s="266"/>
      <c r="AH538" s="266"/>
      <c r="AI538" s="266"/>
      <c r="AJ538" s="266"/>
      <c r="AK538" s="266"/>
      <c r="AL538" s="266"/>
      <c r="AM538" s="266"/>
      <c r="AN538" s="266"/>
      <c r="AO538" s="266"/>
      <c r="AP538" s="266"/>
      <c r="AQ538" s="266"/>
      <c r="AR538" s="266"/>
      <c r="AS538" s="266"/>
      <c r="AT538" s="266"/>
      <c r="AU538" s="266"/>
      <c r="AV538" s="266"/>
      <c r="AW538" s="266"/>
      <c r="AX538" s="266"/>
      <c r="AY538" s="266"/>
      <c r="AZ538" s="266"/>
    </row>
    <row r="539">
      <c r="A539" s="168"/>
      <c r="B539" s="168"/>
      <c r="C539" s="168"/>
      <c r="D539" s="209"/>
      <c r="E539" s="209"/>
      <c r="F539" s="209"/>
      <c r="G539" s="209"/>
      <c r="H539" s="209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  <c r="AC539" s="266"/>
      <c r="AD539" s="266"/>
      <c r="AE539" s="266"/>
      <c r="AF539" s="266"/>
      <c r="AG539" s="266"/>
      <c r="AH539" s="266"/>
      <c r="AI539" s="266"/>
      <c r="AJ539" s="266"/>
      <c r="AK539" s="266"/>
      <c r="AL539" s="266"/>
      <c r="AM539" s="266"/>
      <c r="AN539" s="266"/>
      <c r="AO539" s="266"/>
      <c r="AP539" s="266"/>
      <c r="AQ539" s="266"/>
      <c r="AR539" s="266"/>
      <c r="AS539" s="266"/>
      <c r="AT539" s="266"/>
      <c r="AU539" s="266"/>
      <c r="AV539" s="266"/>
      <c r="AW539" s="266"/>
      <c r="AX539" s="266"/>
      <c r="AY539" s="266"/>
      <c r="AZ539" s="266"/>
    </row>
    <row r="540">
      <c r="A540" s="168"/>
      <c r="B540" s="168"/>
      <c r="C540" s="168"/>
      <c r="D540" s="209"/>
      <c r="E540" s="209"/>
      <c r="F540" s="209"/>
      <c r="G540" s="209"/>
      <c r="H540" s="209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  <c r="AC540" s="266"/>
      <c r="AD540" s="266"/>
      <c r="AE540" s="266"/>
      <c r="AF540" s="266"/>
      <c r="AG540" s="266"/>
      <c r="AH540" s="266"/>
      <c r="AI540" s="266"/>
      <c r="AJ540" s="266"/>
      <c r="AK540" s="266"/>
      <c r="AL540" s="266"/>
      <c r="AM540" s="266"/>
      <c r="AN540" s="266"/>
      <c r="AO540" s="266"/>
      <c r="AP540" s="266"/>
      <c r="AQ540" s="266"/>
      <c r="AR540" s="266"/>
      <c r="AS540" s="266"/>
      <c r="AT540" s="266"/>
      <c r="AU540" s="266"/>
      <c r="AV540" s="266"/>
      <c r="AW540" s="266"/>
      <c r="AX540" s="266"/>
      <c r="AY540" s="266"/>
      <c r="AZ540" s="266"/>
    </row>
    <row r="541">
      <c r="A541" s="168"/>
      <c r="B541" s="139" t="s">
        <v>309</v>
      </c>
      <c r="C541" s="168"/>
      <c r="D541" s="209"/>
      <c r="E541" s="209"/>
      <c r="F541" s="209"/>
      <c r="G541" s="209"/>
      <c r="H541" s="209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  <c r="AC541" s="266"/>
      <c r="AD541" s="266"/>
      <c r="AE541" s="266"/>
      <c r="AF541" s="266"/>
      <c r="AG541" s="266"/>
      <c r="AH541" s="266"/>
      <c r="AI541" s="266"/>
      <c r="AJ541" s="266"/>
      <c r="AK541" s="266"/>
      <c r="AL541" s="266"/>
      <c r="AM541" s="266"/>
      <c r="AN541" s="266"/>
      <c r="AO541" s="266"/>
      <c r="AP541" s="266"/>
      <c r="AQ541" s="266"/>
      <c r="AR541" s="266"/>
      <c r="AS541" s="266"/>
      <c r="AT541" s="266"/>
      <c r="AU541" s="266"/>
      <c r="AV541" s="266"/>
      <c r="AW541" s="266"/>
      <c r="AX541" s="266"/>
      <c r="AY541" s="266"/>
      <c r="AZ541" s="266"/>
    </row>
    <row r="542">
      <c r="A542" s="168"/>
      <c r="B542" s="168"/>
      <c r="C542" s="168"/>
      <c r="D542" s="267" t="s">
        <v>344</v>
      </c>
      <c r="E542" s="21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  <c r="AB542" s="168"/>
      <c r="AC542" s="168"/>
      <c r="AD542" s="168"/>
      <c r="AE542" s="168"/>
      <c r="AF542" s="168"/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168"/>
      <c r="AT542" s="168"/>
      <c r="AU542" s="168"/>
      <c r="AV542" s="168"/>
      <c r="AW542" s="168"/>
      <c r="AX542" s="168"/>
      <c r="AY542" s="168"/>
      <c r="AZ542" s="168"/>
    </row>
    <row r="543">
      <c r="A543" s="168"/>
      <c r="B543" s="168"/>
      <c r="C543" s="212"/>
      <c r="D543" s="268" t="s">
        <v>345</v>
      </c>
      <c r="E543" s="269" t="s">
        <v>251</v>
      </c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  <c r="AB543" s="168"/>
      <c r="AC543" s="168"/>
      <c r="AD543" s="168"/>
      <c r="AE543" s="168"/>
      <c r="AF543" s="168"/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168"/>
      <c r="AT543" s="168"/>
      <c r="AU543" s="168"/>
      <c r="AV543" s="168"/>
      <c r="AW543" s="168"/>
      <c r="AX543" s="168"/>
      <c r="AY543" s="168"/>
      <c r="AZ543" s="168"/>
    </row>
    <row r="544">
      <c r="A544" s="168"/>
      <c r="B544" s="175" t="str">
        <f>"1 year ("&amp;(Year(today())+1)&amp;")"</f>
        <v>1 year (2026)</v>
      </c>
      <c r="C544" s="215"/>
      <c r="D544" s="219">
        <f>E537</f>
        <v>3831.342556</v>
      </c>
      <c r="E544" s="217" t="str">
        <f t="shared" ref="E544:E547" si="73">D544/$H$65</f>
        <v>#DIV/0!</v>
      </c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  <c r="AB544" s="168"/>
      <c r="AC544" s="168"/>
      <c r="AD544" s="168"/>
      <c r="AE544" s="168"/>
      <c r="AF544" s="168"/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168"/>
      <c r="AT544" s="168"/>
      <c r="AU544" s="168"/>
      <c r="AV544" s="168"/>
      <c r="AW544" s="168"/>
      <c r="AX544" s="168"/>
      <c r="AY544" s="168"/>
      <c r="AZ544" s="168"/>
    </row>
    <row r="545">
      <c r="A545" s="168"/>
      <c r="B545" s="175" t="str">
        <f>"5 years ("&amp;(Year(today())+5)&amp;")"</f>
        <v>5 years (2030)</v>
      </c>
      <c r="C545" s="218"/>
      <c r="D545" s="219">
        <f>I537</f>
        <v>36030.03216</v>
      </c>
      <c r="E545" s="217" t="str">
        <f t="shared" si="73"/>
        <v>#DIV/0!</v>
      </c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  <c r="AB545" s="168"/>
      <c r="AC545" s="168"/>
      <c r="AD545" s="168"/>
      <c r="AE545" s="168"/>
      <c r="AF545" s="168"/>
      <c r="AG545" s="168"/>
      <c r="AH545" s="168"/>
      <c r="AI545" s="168"/>
      <c r="AJ545" s="168"/>
      <c r="AK545" s="168"/>
      <c r="AL545" s="168"/>
      <c r="AM545" s="168"/>
      <c r="AN545" s="168"/>
      <c r="AO545" s="168"/>
      <c r="AP545" s="168"/>
      <c r="AQ545" s="168"/>
      <c r="AR545" s="168"/>
      <c r="AS545" s="168"/>
      <c r="AT545" s="168"/>
      <c r="AU545" s="168"/>
      <c r="AV545" s="168"/>
      <c r="AW545" s="168"/>
      <c r="AX545" s="168"/>
      <c r="AY545" s="168"/>
      <c r="AZ545" s="168"/>
    </row>
    <row r="546">
      <c r="A546" s="168"/>
      <c r="B546" s="175" t="str">
        <f>"10 years ("&amp;(Year(today())+10)&amp;")"</f>
        <v>10 years (2035)</v>
      </c>
      <c r="C546" s="218"/>
      <c r="D546" s="219">
        <f>N537</f>
        <v>117465.5445</v>
      </c>
      <c r="E546" s="217" t="str">
        <f t="shared" si="73"/>
        <v>#DIV/0!</v>
      </c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  <c r="AB546" s="168"/>
      <c r="AC546" s="168"/>
      <c r="AD546" s="168"/>
      <c r="AE546" s="168"/>
      <c r="AF546" s="168"/>
      <c r="AG546" s="168"/>
      <c r="AH546" s="168"/>
      <c r="AI546" s="168"/>
      <c r="AJ546" s="168"/>
      <c r="AK546" s="168"/>
      <c r="AL546" s="168"/>
      <c r="AM546" s="168"/>
      <c r="AN546" s="168"/>
      <c r="AO546" s="168"/>
      <c r="AP546" s="168"/>
      <c r="AQ546" s="168"/>
      <c r="AR546" s="168"/>
      <c r="AS546" s="168"/>
      <c r="AT546" s="168"/>
      <c r="AU546" s="168"/>
      <c r="AV546" s="168"/>
      <c r="AW546" s="168"/>
      <c r="AX546" s="168"/>
      <c r="AY546" s="168"/>
      <c r="AZ546" s="168"/>
    </row>
    <row r="547">
      <c r="A547" s="168"/>
      <c r="B547" s="175" t="str">
        <f>"20 years ("&amp;(Year(today())+20)&amp;")"</f>
        <v>20 years (2045)</v>
      </c>
      <c r="C547" s="222"/>
      <c r="D547" s="219">
        <f>X537</f>
        <v>604577.2955</v>
      </c>
      <c r="E547" s="217" t="str">
        <f t="shared" si="73"/>
        <v>#DIV/0!</v>
      </c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  <c r="AB547" s="168"/>
      <c r="AC547" s="168"/>
      <c r="AD547" s="168"/>
      <c r="AE547" s="168"/>
      <c r="AF547" s="168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168"/>
      <c r="AT547" s="168"/>
      <c r="AU547" s="168"/>
      <c r="AV547" s="168"/>
      <c r="AW547" s="168"/>
      <c r="AX547" s="168"/>
      <c r="AY547" s="168"/>
      <c r="AZ547" s="168"/>
    </row>
    <row r="54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  <c r="AB548" s="168"/>
      <c r="AC548" s="168"/>
      <c r="AD548" s="168"/>
      <c r="AE548" s="168"/>
      <c r="AF548" s="168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168"/>
      <c r="AT548" s="168"/>
      <c r="AU548" s="168"/>
      <c r="AV548" s="168"/>
      <c r="AW548" s="168"/>
      <c r="AX548" s="168"/>
      <c r="AY548" s="168"/>
      <c r="AZ548" s="168"/>
    </row>
    <row r="549">
      <c r="A549" s="167" t="s">
        <v>508</v>
      </c>
      <c r="B549" s="252" t="s">
        <v>509</v>
      </c>
      <c r="C549" s="168"/>
      <c r="D549" s="168"/>
      <c r="E549" s="174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  <c r="AB549" s="168"/>
      <c r="AC549" s="168"/>
      <c r="AD549" s="168"/>
      <c r="AE549" s="168"/>
      <c r="AF549" s="168"/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168"/>
      <c r="AT549" s="168"/>
      <c r="AU549" s="168"/>
      <c r="AV549" s="168"/>
      <c r="AW549" s="168"/>
      <c r="AX549" s="168"/>
      <c r="AY549" s="168"/>
      <c r="AZ549" s="168"/>
    </row>
    <row r="550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  <c r="AB550" s="168"/>
      <c r="AC550" s="168"/>
      <c r="AD550" s="168"/>
      <c r="AE550" s="168"/>
      <c r="AF550" s="168"/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168"/>
      <c r="AT550" s="168"/>
      <c r="AU550" s="168"/>
      <c r="AV550" s="168"/>
      <c r="AW550" s="168"/>
      <c r="AX550" s="168"/>
      <c r="AY550" s="168"/>
      <c r="AZ550" s="168"/>
    </row>
    <row r="551">
      <c r="A551" s="168"/>
      <c r="B551" s="260" t="s">
        <v>203</v>
      </c>
      <c r="C551" s="260" t="s">
        <v>440</v>
      </c>
      <c r="D551" s="85" t="s">
        <v>224</v>
      </c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  <c r="AB551" s="168"/>
      <c r="AC551" s="168"/>
      <c r="AD551" s="168"/>
      <c r="AE551" s="168"/>
      <c r="AF551" s="168"/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168"/>
      <c r="AT551" s="168"/>
      <c r="AU551" s="168"/>
      <c r="AV551" s="168"/>
      <c r="AW551" s="168"/>
      <c r="AX551" s="168"/>
      <c r="AY551" s="168"/>
      <c r="AZ551" s="168"/>
    </row>
    <row r="552">
      <c r="A552" s="168"/>
      <c r="B552" s="131" t="s">
        <v>510</v>
      </c>
      <c r="C552" s="272">
        <v>0.05</v>
      </c>
      <c r="D552" s="131"/>
      <c r="E552" s="174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  <c r="AB552" s="168"/>
      <c r="AC552" s="168"/>
      <c r="AD552" s="168"/>
      <c r="AE552" s="168"/>
      <c r="AF552" s="168"/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168"/>
      <c r="AT552" s="168"/>
      <c r="AU552" s="168"/>
      <c r="AV552" s="168"/>
      <c r="AW552" s="168"/>
      <c r="AX552" s="168"/>
      <c r="AY552" s="168"/>
      <c r="AZ552" s="168"/>
    </row>
    <row r="553">
      <c r="A553" s="168"/>
      <c r="B553" s="131" t="s">
        <v>511</v>
      </c>
      <c r="C553" s="286">
        <v>15000.0</v>
      </c>
      <c r="D553" s="131" t="s">
        <v>512</v>
      </c>
      <c r="E553" s="174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  <c r="AB553" s="168"/>
      <c r="AC553" s="168"/>
      <c r="AD553" s="168"/>
      <c r="AE553" s="168"/>
      <c r="AF553" s="168"/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168"/>
      <c r="AT553" s="168"/>
      <c r="AU553" s="168"/>
      <c r="AV553" s="168"/>
      <c r="AW553" s="168"/>
      <c r="AX553" s="168"/>
      <c r="AY553" s="168"/>
      <c r="AZ553" s="168"/>
    </row>
    <row r="554">
      <c r="A554" s="168"/>
      <c r="B554" s="139"/>
      <c r="C554" s="285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  <c r="AB554" s="168"/>
      <c r="AC554" s="168"/>
      <c r="AD554" s="168"/>
      <c r="AE554" s="168"/>
      <c r="AF554" s="168"/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168"/>
      <c r="AT554" s="168"/>
      <c r="AU554" s="168"/>
      <c r="AV554" s="168"/>
      <c r="AW554" s="168"/>
      <c r="AX554" s="168"/>
      <c r="AY554" s="168"/>
      <c r="AZ554" s="168"/>
    </row>
    <row r="555">
      <c r="A555" s="168"/>
      <c r="B555" s="139" t="s">
        <v>336</v>
      </c>
      <c r="C555" s="192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  <c r="AB555" s="168"/>
      <c r="AC555" s="168"/>
      <c r="AD555" s="168"/>
      <c r="AE555" s="168"/>
      <c r="AF555" s="168"/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168"/>
      <c r="AT555" s="168"/>
      <c r="AU555" s="168"/>
      <c r="AV555" s="168"/>
      <c r="AW555" s="168"/>
      <c r="AX555" s="168"/>
      <c r="AY555" s="168"/>
      <c r="AZ555" s="168"/>
    </row>
    <row r="556">
      <c r="A556" s="168"/>
      <c r="B556" s="168"/>
      <c r="C556" s="287"/>
      <c r="D556" s="85" t="s">
        <v>285</v>
      </c>
      <c r="E556" s="193">
        <v>46143.0</v>
      </c>
      <c r="F556" s="193">
        <v>46508.0</v>
      </c>
      <c r="G556" s="193">
        <v>46874.0</v>
      </c>
      <c r="H556" s="193">
        <v>47239.0</v>
      </c>
      <c r="I556" s="193">
        <v>47604.0</v>
      </c>
      <c r="J556" s="193">
        <v>47969.0</v>
      </c>
      <c r="K556" s="193">
        <v>48335.0</v>
      </c>
      <c r="L556" s="193">
        <v>48700.0</v>
      </c>
      <c r="M556" s="193">
        <v>49065.0</v>
      </c>
      <c r="N556" s="193">
        <v>49430.0</v>
      </c>
      <c r="O556" s="193">
        <v>49796.0</v>
      </c>
      <c r="P556" s="193">
        <v>50161.0</v>
      </c>
      <c r="Q556" s="193">
        <v>50526.0</v>
      </c>
      <c r="R556" s="193">
        <v>50891.0</v>
      </c>
      <c r="S556" s="193">
        <v>51257.0</v>
      </c>
      <c r="T556" s="193">
        <v>51622.0</v>
      </c>
      <c r="U556" s="193">
        <v>51987.0</v>
      </c>
      <c r="V556" s="193">
        <v>52352.0</v>
      </c>
      <c r="W556" s="193">
        <v>52718.0</v>
      </c>
      <c r="X556" s="193">
        <v>53083.0</v>
      </c>
      <c r="Y556" s="193">
        <v>53448.0</v>
      </c>
      <c r="Z556" s="193">
        <v>53813.0</v>
      </c>
      <c r="AA556" s="193">
        <v>54179.0</v>
      </c>
      <c r="AB556" s="193">
        <v>54544.0</v>
      </c>
      <c r="AC556" s="193">
        <v>54909.0</v>
      </c>
      <c r="AD556" s="193">
        <v>55274.0</v>
      </c>
      <c r="AE556" s="193">
        <v>55640.0</v>
      </c>
      <c r="AF556" s="193">
        <v>56005.0</v>
      </c>
      <c r="AG556" s="193">
        <v>56370.0</v>
      </c>
      <c r="AH556" s="193">
        <v>56735.0</v>
      </c>
      <c r="AI556" s="193">
        <v>57101.0</v>
      </c>
      <c r="AJ556" s="193">
        <v>57466.0</v>
      </c>
      <c r="AK556" s="193">
        <v>57831.0</v>
      </c>
      <c r="AL556" s="193">
        <v>58196.0</v>
      </c>
      <c r="AM556" s="193">
        <v>58562.0</v>
      </c>
      <c r="AN556" s="193">
        <v>58927.0</v>
      </c>
      <c r="AO556" s="193">
        <v>59292.0</v>
      </c>
      <c r="AP556" s="193">
        <v>59657.0</v>
      </c>
      <c r="AQ556" s="193">
        <v>60023.0</v>
      </c>
      <c r="AR556" s="193">
        <v>60388.0</v>
      </c>
      <c r="AS556" s="193">
        <v>60753.0</v>
      </c>
      <c r="AT556" s="193">
        <v>61118.0</v>
      </c>
      <c r="AU556" s="193">
        <v>61484.0</v>
      </c>
      <c r="AV556" s="193">
        <v>61849.0</v>
      </c>
      <c r="AW556" s="193">
        <v>62214.0</v>
      </c>
      <c r="AX556" s="193">
        <v>62579.0</v>
      </c>
      <c r="AY556" s="193">
        <v>62945.0</v>
      </c>
      <c r="AZ556" s="193">
        <v>63310.0</v>
      </c>
    </row>
    <row r="557">
      <c r="A557" s="168"/>
      <c r="B557" s="238" t="s">
        <v>513</v>
      </c>
      <c r="C557" s="287"/>
      <c r="D557" s="196">
        <f>D11</f>
        <v>0</v>
      </c>
      <c r="E557" s="196">
        <f>(E567)*msci_ann_div</f>
        <v>1619.354132</v>
      </c>
      <c r="F557" s="196">
        <f>(F567)*msci_ann_div</f>
        <v>1735.461824</v>
      </c>
      <c r="G557" s="196">
        <f>(G567)*msci_ann_div</f>
        <v>1859.894437</v>
      </c>
      <c r="H557" s="196">
        <f>(H567)*msci_ann_div</f>
        <v>1993.248868</v>
      </c>
      <c r="I557" s="196">
        <f>(I567)*msci_ann_div</f>
        <v>2136.164811</v>
      </c>
      <c r="J557" s="196">
        <f>(J567)*msci_ann_div</f>
        <v>2289.327828</v>
      </c>
      <c r="K557" s="196">
        <f>(K567)*msci_ann_div</f>
        <v>2453.472634</v>
      </c>
      <c r="L557" s="196">
        <f>(L567)*msci_ann_div</f>
        <v>2629.386622</v>
      </c>
      <c r="M557" s="196">
        <f>(M567)*msci_ann_div</f>
        <v>2817.913642</v>
      </c>
      <c r="N557" s="196">
        <f>(N567)*msci_ann_div</f>
        <v>3019.95805</v>
      </c>
      <c r="O557" s="196">
        <f>(O567)*msci_ann_div</f>
        <v>3236.489043</v>
      </c>
      <c r="P557" s="196">
        <f>(P567)*msci_ann_div</f>
        <v>3468.545307</v>
      </c>
      <c r="Q557" s="196">
        <f>(Q567)*msci_ann_div</f>
        <v>3717.240006</v>
      </c>
      <c r="R557" s="196">
        <f>(R567)*msci_ann_div</f>
        <v>3983.766114</v>
      </c>
      <c r="S557" s="196">
        <f>(S567)*msci_ann_div</f>
        <v>4269.402144</v>
      </c>
      <c r="T557" s="196">
        <f>(T567)*msci_ann_div</f>
        <v>4575.518278</v>
      </c>
      <c r="U557" s="196">
        <f>(U567)*msci_ann_div</f>
        <v>4903.582939</v>
      </c>
      <c r="V557" s="196">
        <f>(V567)*msci_ann_div</f>
        <v>5255.169835</v>
      </c>
      <c r="W557" s="196">
        <f>(W567)*msci_ann_div</f>
        <v>5631.965513</v>
      </c>
      <c r="X557" s="196">
        <f>(X567)*msci_ann_div</f>
        <v>6035.77744</v>
      </c>
      <c r="Y557" s="196">
        <f>(Y567)*msci_ann_div</f>
        <v>6468.542682</v>
      </c>
      <c r="Z557" s="196">
        <f>(Z567)*msci_ann_div</f>
        <v>6932.337193</v>
      </c>
      <c r="AA557" s="196">
        <f>(AA567)*msci_ann_div</f>
        <v>7429.385769</v>
      </c>
      <c r="AB557" s="196">
        <f>(AB567)*msci_ann_div</f>
        <v>7962.072729</v>
      </c>
      <c r="AC557" s="196">
        <f>(AC567)*msci_ann_div</f>
        <v>8532.953344</v>
      </c>
      <c r="AD557" s="196">
        <f>(AD567)*msci_ann_div</f>
        <v>9144.766098</v>
      </c>
      <c r="AE557" s="196">
        <f>(AE567)*msci_ann_div</f>
        <v>9800.445828</v>
      </c>
      <c r="AF557" s="196">
        <f>(AF567)*msci_ann_div</f>
        <v>10503.13779</v>
      </c>
      <c r="AG557" s="196">
        <f>(AG567)*msci_ann_div</f>
        <v>11256.21277</v>
      </c>
      <c r="AH557" s="196">
        <f>(AH567)*msci_ann_div</f>
        <v>12063.28323</v>
      </c>
      <c r="AI557" s="196">
        <f>(AI567)*msci_ann_div</f>
        <v>12928.22064</v>
      </c>
      <c r="AJ557" s="196">
        <f>(AJ567)*msci_ann_div</f>
        <v>13855.17406</v>
      </c>
      <c r="AK557" s="196">
        <f>(AK567)*msci_ann_div</f>
        <v>14848.59004</v>
      </c>
      <c r="AL557" s="196">
        <f>(AL567)*msci_ann_div</f>
        <v>15913.23394</v>
      </c>
      <c r="AM557" s="196">
        <f>(AM567)*msci_ann_div</f>
        <v>17054.21282</v>
      </c>
      <c r="AN557" s="196">
        <f>(AN567)*msci_ann_div</f>
        <v>18276.99987</v>
      </c>
      <c r="AO557" s="196">
        <f>(AO567)*msci_ann_div</f>
        <v>19587.46077</v>
      </c>
      <c r="AP557" s="196">
        <f>(AP567)*msci_ann_div</f>
        <v>20991.8817</v>
      </c>
      <c r="AQ557" s="196">
        <f>(AQ567)*msci_ann_div</f>
        <v>22496.99962</v>
      </c>
      <c r="AR557" s="196">
        <f>(AR567)*msci_ann_div</f>
        <v>24110.03449</v>
      </c>
      <c r="AS557" s="196">
        <f>(AS567)*msci_ann_div</f>
        <v>25838.72397</v>
      </c>
      <c r="AT557" s="196">
        <f>(AT567)*msci_ann_div</f>
        <v>27691.36047</v>
      </c>
      <c r="AU557" s="196">
        <f>(AU567)*msci_ann_div</f>
        <v>29676.83102</v>
      </c>
      <c r="AV557" s="196">
        <f>(AV567)*msci_ann_div</f>
        <v>31804.6598</v>
      </c>
      <c r="AW557" s="196">
        <f>(AW567)*msci_ann_div</f>
        <v>34085.05391</v>
      </c>
      <c r="AX557" s="196">
        <f>(AX567)*msci_ann_div</f>
        <v>36528.95228</v>
      </c>
      <c r="AY557" s="196">
        <f>(AY567)*msci_ann_div</f>
        <v>39148.07816</v>
      </c>
      <c r="AZ557" s="196">
        <f>(AZ567)*msci_ann_div</f>
        <v>41954.99536</v>
      </c>
    </row>
    <row r="558">
      <c r="A558" s="168"/>
      <c r="B558" s="238" t="s">
        <v>514</v>
      </c>
      <c r="C558" s="287"/>
      <c r="D558" s="196">
        <f>D11</f>
        <v>0</v>
      </c>
      <c r="E558" s="196">
        <f>E568*msci_ann_div</f>
        <v>1196.727332</v>
      </c>
      <c r="F558" s="196">
        <f>F568*msci_ann_div</f>
        <v>1078.532682</v>
      </c>
      <c r="G558" s="196">
        <f>G568*msci_ann_div</f>
        <v>951.8634755</v>
      </c>
      <c r="H558" s="196">
        <f>H568*msci_ann_div</f>
        <v>816.1120867</v>
      </c>
      <c r="I558" s="196">
        <f>I568*msci_ann_div</f>
        <v>670.6273233</v>
      </c>
      <c r="J558" s="196">
        <f>J568*msci_ann_div</f>
        <v>514.7113024</v>
      </c>
      <c r="K558" s="196">
        <f>K568*msci_ann_div</f>
        <v>347.6161028</v>
      </c>
      <c r="L558" s="196">
        <f>L568*msci_ann_div</f>
        <v>168.5401774</v>
      </c>
      <c r="M558" s="196">
        <f>M568*msci_ann_div</f>
        <v>-23.37549189</v>
      </c>
      <c r="N558" s="196">
        <f>N568*msci_ann_div</f>
        <v>-229.0515147</v>
      </c>
      <c r="O558" s="196">
        <f>O568*msci_ann_div</f>
        <v>-449.4745083</v>
      </c>
      <c r="P558" s="196">
        <f>P568*msci_ann_div</f>
        <v>-685.7018305</v>
      </c>
      <c r="Q558" s="196">
        <f>Q568*msci_ann_div</f>
        <v>-938.8666518</v>
      </c>
      <c r="R558" s="196">
        <f>R568*msci_ann_div</f>
        <v>-1210.183391</v>
      </c>
      <c r="S558" s="196">
        <f>S568*msci_ann_div</f>
        <v>-1500.95354</v>
      </c>
      <c r="T558" s="196">
        <f>T568*msci_ann_div</f>
        <v>-1812.571909</v>
      </c>
      <c r="U558" s="196">
        <f>U568*msci_ann_div</f>
        <v>-2146.533314</v>
      </c>
      <c r="V558" s="196">
        <f>V568*msci_ann_div</f>
        <v>-2504.439753</v>
      </c>
      <c r="W558" s="196">
        <f>W568*msci_ann_div</f>
        <v>-2888.008083</v>
      </c>
      <c r="X558" s="196">
        <f>X568*msci_ann_div</f>
        <v>-3299.078263</v>
      </c>
      <c r="Y558" s="196">
        <f>Y568*msci_ann_div</f>
        <v>-3739.622174</v>
      </c>
      <c r="Z558" s="196">
        <f>Z568*msci_ann_div</f>
        <v>-4211.753084</v>
      </c>
      <c r="AA558" s="196">
        <f>AA568*msci_ann_div</f>
        <v>-4717.73578</v>
      </c>
      <c r="AB558" s="196">
        <f>AB568*msci_ann_div</f>
        <v>-5259.997436</v>
      </c>
      <c r="AC558" s="196">
        <f>AC568*msci_ann_div</f>
        <v>-5841.139252</v>
      </c>
      <c r="AD558" s="196">
        <f>AD568*msci_ann_div</f>
        <v>-6463.948936</v>
      </c>
      <c r="AE558" s="196">
        <f>AE568*msci_ann_div</f>
        <v>-7131.414075</v>
      </c>
      <c r="AF558" s="196">
        <f>AF568*msci_ann_div</f>
        <v>-7846.736464</v>
      </c>
      <c r="AG558" s="196">
        <f>AG568*msci_ann_div</f>
        <v>-8613.347469</v>
      </c>
      <c r="AH558" s="196">
        <f>AH568*msci_ann_div</f>
        <v>-9434.924482</v>
      </c>
      <c r="AI558" s="196">
        <f>AI568*msci_ann_div</f>
        <v>-10315.40857</v>
      </c>
      <c r="AJ558" s="196">
        <f>AJ568*msci_ann_div</f>
        <v>-11259.02336</v>
      </c>
      <c r="AK558" s="196">
        <f>AK568*msci_ann_div</f>
        <v>-12270.29534</v>
      </c>
      <c r="AL558" s="196">
        <f>AL568*msci_ann_div</f>
        <v>-13354.07551</v>
      </c>
      <c r="AM558" s="196">
        <f>AM568*msci_ann_div</f>
        <v>-14515.56273</v>
      </c>
      <c r="AN558" s="196">
        <f>AN568*msci_ann_div</f>
        <v>-15760.32857</v>
      </c>
      <c r="AO558" s="196">
        <f>AO568*msci_ann_div</f>
        <v>-17094.34413</v>
      </c>
      <c r="AP558" s="196">
        <f>AP568*msci_ann_div</f>
        <v>-18524.00861</v>
      </c>
      <c r="AQ558" s="196">
        <f>AQ568*msci_ann_div</f>
        <v>-20056.18003</v>
      </c>
      <c r="AR558" s="196">
        <f>AR568*msci_ann_div</f>
        <v>-21698.20813</v>
      </c>
      <c r="AS558" s="196">
        <f>AS568*msci_ann_div</f>
        <v>-23457.96966</v>
      </c>
      <c r="AT558" s="196">
        <f>AT568*msci_ann_div</f>
        <v>-25343.90608</v>
      </c>
      <c r="AU558" s="196">
        <f>AU568*msci_ann_div</f>
        <v>-27365.06415</v>
      </c>
      <c r="AV558" s="196">
        <f>AV568*msci_ann_div</f>
        <v>-29531.13925</v>
      </c>
      <c r="AW558" s="196">
        <f>AW568*msci_ann_div</f>
        <v>-31852.52193</v>
      </c>
      <c r="AX558" s="196">
        <f>AX568*msci_ann_div</f>
        <v>-34340.34775</v>
      </c>
      <c r="AY558" s="196">
        <f>AY568*msci_ann_div</f>
        <v>-37006.55069</v>
      </c>
      <c r="AZ558" s="196">
        <f>AZ568*msci_ann_div</f>
        <v>-39863.92037</v>
      </c>
    </row>
    <row r="559">
      <c r="A559" s="168"/>
      <c r="B559" s="238" t="s">
        <v>515</v>
      </c>
      <c r="C559" s="287"/>
      <c r="D559" s="196">
        <f>D11</f>
        <v>0</v>
      </c>
      <c r="E559" s="196">
        <f>E569*sp_ann_div</f>
        <v>545.39115</v>
      </c>
      <c r="F559" s="196">
        <f>F569*sp_ann_div</f>
        <v>860.35743</v>
      </c>
      <c r="G559" s="196">
        <f>G569*sp_ann_div</f>
        <v>1207.355781</v>
      </c>
      <c r="H559" s="196">
        <f>H569*sp_ann_div</f>
        <v>1589.643863</v>
      </c>
      <c r="I559" s="196">
        <f>I569*sp_ann_div</f>
        <v>2010.810644</v>
      </c>
      <c r="J559" s="196">
        <f>J569*sp_ann_div</f>
        <v>2474.810087</v>
      </c>
      <c r="K559" s="196">
        <f>K569*sp_ann_div</f>
        <v>2985.998273</v>
      </c>
      <c r="L559" s="196">
        <f>L569*sp_ann_div</f>
        <v>3549.174297</v>
      </c>
      <c r="M559" s="196">
        <f>M569*sp_ann_div</f>
        <v>4169.625323</v>
      </c>
      <c r="N559" s="196">
        <f>N569*sp_ann_div</f>
        <v>4853.176218</v>
      </c>
      <c r="O559" s="196">
        <f>O569*sp_ann_div</f>
        <v>5606.24424</v>
      </c>
      <c r="P559" s="196">
        <f>P569*sp_ann_div</f>
        <v>6435.899279</v>
      </c>
      <c r="Q559" s="196">
        <f>Q569*sp_ann_div</f>
        <v>7349.930236</v>
      </c>
      <c r="R559" s="196">
        <f>R569*sp_ann_div</f>
        <v>8356.918141</v>
      </c>
      <c r="S559" s="196">
        <f>S569*sp_ann_div</f>
        <v>9466.316716</v>
      </c>
      <c r="T559" s="196">
        <f>T569*sp_ann_div</f>
        <v>10688.54113</v>
      </c>
      <c r="U559" s="196">
        <f>U569*sp_ann_div</f>
        <v>12035.06576</v>
      </c>
      <c r="V559" s="196">
        <f>V569*sp_ann_div</f>
        <v>13518.53195</v>
      </c>
      <c r="W559" s="196">
        <f>W569*sp_ann_div</f>
        <v>15152.86664</v>
      </c>
      <c r="X559" s="196">
        <f>X569*sp_ann_div</f>
        <v>16953.41318</v>
      </c>
      <c r="Y559" s="196">
        <f>Y569*sp_ann_div</f>
        <v>18937.0753</v>
      </c>
      <c r="Z559" s="196">
        <f>Z569*sp_ann_div</f>
        <v>21122.47586</v>
      </c>
      <c r="AA559" s="196">
        <f>AA569*sp_ann_div</f>
        <v>23530.13166</v>
      </c>
      <c r="AB559" s="196">
        <f>AB569*sp_ann_div</f>
        <v>26182.64605</v>
      </c>
      <c r="AC559" s="196">
        <f>AC569*sp_ann_div</f>
        <v>29104.92115</v>
      </c>
      <c r="AD559" s="196">
        <f>AD569*sp_ann_div</f>
        <v>32324.39163</v>
      </c>
      <c r="AE559" s="196">
        <f>AE569*sp_ann_div</f>
        <v>35871.28226</v>
      </c>
      <c r="AF559" s="196">
        <f>AF569*sp_ann_div</f>
        <v>39778.89166</v>
      </c>
      <c r="AG559" s="196">
        <f>AG569*sp_ann_div</f>
        <v>44083.90495</v>
      </c>
      <c r="AH559" s="196">
        <f>AH569*sp_ann_div</f>
        <v>48826.73808</v>
      </c>
      <c r="AI559" s="196">
        <f>AI569*sp_ann_div</f>
        <v>54051.91734</v>
      </c>
      <c r="AJ559" s="196">
        <f>AJ569*sp_ann_div</f>
        <v>59808.49734</v>
      </c>
      <c r="AK559" s="196">
        <f>AK569*sp_ann_div</f>
        <v>66150.52151</v>
      </c>
      <c r="AL559" s="196">
        <f>AL569*sp_ann_div</f>
        <v>73137.52955</v>
      </c>
      <c r="AM559" s="196">
        <f>AM569*sp_ann_div</f>
        <v>80835.11631</v>
      </c>
      <c r="AN559" s="196">
        <f>AN569*sp_ann_div</f>
        <v>89315.54764</v>
      </c>
      <c r="AO559" s="196">
        <f>AO569*sp_ann_div</f>
        <v>98658.43883</v>
      </c>
      <c r="AP559" s="196">
        <f>AP569*sp_ann_div</f>
        <v>108951.5021</v>
      </c>
      <c r="AQ559" s="196">
        <f>AQ569*sp_ann_div</f>
        <v>120291.3698</v>
      </c>
      <c r="AR559" s="196">
        <f>AR569*sp_ann_div</f>
        <v>132784.5021</v>
      </c>
      <c r="AS559" s="196">
        <f>AS569*sp_ann_div</f>
        <v>146548.186</v>
      </c>
      <c r="AT559" s="196">
        <f>AT569*sp_ann_div</f>
        <v>161711.6365</v>
      </c>
      <c r="AU559" s="196">
        <f>AU569*sp_ann_div</f>
        <v>178417.2099</v>
      </c>
      <c r="AV559" s="196">
        <f>AV569*sp_ann_div</f>
        <v>196821.7402</v>
      </c>
      <c r="AW559" s="196">
        <f>AW569*sp_ann_div</f>
        <v>217098.0112</v>
      </c>
      <c r="AX559" s="196">
        <f>AX569*sp_ann_div</f>
        <v>239436.3789</v>
      </c>
      <c r="AY559" s="196">
        <f>AY569*sp_ann_div</f>
        <v>264046.5586</v>
      </c>
      <c r="AZ559" s="196">
        <f>AZ569*sp_ann_div</f>
        <v>291159.5937</v>
      </c>
    </row>
    <row r="560">
      <c r="A560" s="168"/>
      <c r="B560" s="242" t="s">
        <v>516</v>
      </c>
      <c r="C560" s="192"/>
      <c r="D560" s="199">
        <f>D11</f>
        <v>0</v>
      </c>
      <c r="E560" s="199">
        <f t="shared" ref="E560:AZ560" si="74">SUM(E558:E559)-E557</f>
        <v>122.76435</v>
      </c>
      <c r="F560" s="199">
        <f t="shared" si="74"/>
        <v>203.4282884</v>
      </c>
      <c r="G560" s="199">
        <f t="shared" si="74"/>
        <v>299.3248196</v>
      </c>
      <c r="H560" s="199">
        <f t="shared" si="74"/>
        <v>412.5070826</v>
      </c>
      <c r="I560" s="199">
        <f t="shared" si="74"/>
        <v>545.2731563</v>
      </c>
      <c r="J560" s="199">
        <f t="shared" si="74"/>
        <v>700.1935609</v>
      </c>
      <c r="K560" s="199">
        <f t="shared" si="74"/>
        <v>880.1417418</v>
      </c>
      <c r="L560" s="199">
        <f t="shared" si="74"/>
        <v>1088.327853</v>
      </c>
      <c r="M560" s="199">
        <f t="shared" si="74"/>
        <v>1328.336189</v>
      </c>
      <c r="N560" s="199">
        <f t="shared" si="74"/>
        <v>1604.166653</v>
      </c>
      <c r="O560" s="199">
        <f t="shared" si="74"/>
        <v>1920.280689</v>
      </c>
      <c r="P560" s="199">
        <f t="shared" si="74"/>
        <v>2281.652141</v>
      </c>
      <c r="Q560" s="199">
        <f t="shared" si="74"/>
        <v>2693.823578</v>
      </c>
      <c r="R560" s="199">
        <f t="shared" si="74"/>
        <v>3162.968636</v>
      </c>
      <c r="S560" s="199">
        <f t="shared" si="74"/>
        <v>3695.961031</v>
      </c>
      <c r="T560" s="199">
        <f t="shared" si="74"/>
        <v>4300.450939</v>
      </c>
      <c r="U560" s="199">
        <f t="shared" si="74"/>
        <v>4984.949505</v>
      </c>
      <c r="V560" s="199">
        <f t="shared" si="74"/>
        <v>5758.922357</v>
      </c>
      <c r="W560" s="199">
        <f t="shared" si="74"/>
        <v>6632.893049</v>
      </c>
      <c r="X560" s="199">
        <f t="shared" si="74"/>
        <v>7618.55748</v>
      </c>
      <c r="Y560" s="199">
        <f t="shared" si="74"/>
        <v>8728.910446</v>
      </c>
      <c r="Z560" s="199">
        <f t="shared" si="74"/>
        <v>9978.385584</v>
      </c>
      <c r="AA560" s="199">
        <f t="shared" si="74"/>
        <v>11383.01011</v>
      </c>
      <c r="AB560" s="199">
        <f t="shared" si="74"/>
        <v>12960.57588</v>
      </c>
      <c r="AC560" s="199">
        <f t="shared" si="74"/>
        <v>14730.82855</v>
      </c>
      <c r="AD560" s="199">
        <f t="shared" si="74"/>
        <v>16715.67659</v>
      </c>
      <c r="AE560" s="199">
        <f t="shared" si="74"/>
        <v>18939.42236</v>
      </c>
      <c r="AF560" s="199">
        <f t="shared" si="74"/>
        <v>21429.01741</v>
      </c>
      <c r="AG560" s="199">
        <f t="shared" si="74"/>
        <v>24214.3447</v>
      </c>
      <c r="AH560" s="199">
        <f t="shared" si="74"/>
        <v>27328.53037</v>
      </c>
      <c r="AI560" s="199">
        <f t="shared" si="74"/>
        <v>30808.28814</v>
      </c>
      <c r="AJ560" s="199">
        <f t="shared" si="74"/>
        <v>34694.29992</v>
      </c>
      <c r="AK560" s="199">
        <f t="shared" si="74"/>
        <v>39031.63614</v>
      </c>
      <c r="AL560" s="199">
        <f t="shared" si="74"/>
        <v>43870.2201</v>
      </c>
      <c r="AM560" s="199">
        <f t="shared" si="74"/>
        <v>49265.34077</v>
      </c>
      <c r="AN560" s="199">
        <f t="shared" si="74"/>
        <v>55278.21919</v>
      </c>
      <c r="AO560" s="199">
        <f t="shared" si="74"/>
        <v>61976.63393</v>
      </c>
      <c r="AP560" s="199">
        <f t="shared" si="74"/>
        <v>69435.61175</v>
      </c>
      <c r="AQ560" s="199">
        <f t="shared" si="74"/>
        <v>77738.19017</v>
      </c>
      <c r="AR560" s="199">
        <f t="shared" si="74"/>
        <v>86976.25951</v>
      </c>
      <c r="AS560" s="199">
        <f t="shared" si="74"/>
        <v>97251.49238</v>
      </c>
      <c r="AT560" s="199">
        <f t="shared" si="74"/>
        <v>108676.37</v>
      </c>
      <c r="AU560" s="199">
        <f t="shared" si="74"/>
        <v>121375.3148</v>
      </c>
      <c r="AV560" s="199">
        <f t="shared" si="74"/>
        <v>135485.9411</v>
      </c>
      <c r="AW560" s="199">
        <f t="shared" si="74"/>
        <v>151160.4353</v>
      </c>
      <c r="AX560" s="199">
        <f t="shared" si="74"/>
        <v>168567.0789</v>
      </c>
      <c r="AY560" s="199">
        <f t="shared" si="74"/>
        <v>187891.9298</v>
      </c>
      <c r="AZ560" s="199">
        <f t="shared" si="74"/>
        <v>209340.6779</v>
      </c>
    </row>
    <row r="561">
      <c r="A561" s="168"/>
      <c r="B561" s="168"/>
      <c r="C561" s="192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  <c r="AB561" s="168"/>
      <c r="AC561" s="168"/>
      <c r="AD561" s="168"/>
      <c r="AE561" s="168"/>
      <c r="AF561" s="168"/>
      <c r="AG561" s="168"/>
      <c r="AH561" s="168"/>
      <c r="AI561" s="168"/>
      <c r="AJ561" s="168"/>
      <c r="AK561" s="168"/>
      <c r="AL561" s="168"/>
      <c r="AM561" s="168"/>
      <c r="AN561" s="168"/>
      <c r="AO561" s="168"/>
      <c r="AP561" s="168"/>
      <c r="AQ561" s="168"/>
      <c r="AR561" s="168"/>
      <c r="AS561" s="168"/>
      <c r="AT561" s="168"/>
      <c r="AU561" s="168"/>
      <c r="AV561" s="168"/>
      <c r="AW561" s="168"/>
      <c r="AX561" s="168"/>
      <c r="AY561" s="168"/>
      <c r="AZ561" s="168"/>
    </row>
    <row r="562">
      <c r="A562" s="168"/>
      <c r="B562" s="168"/>
      <c r="C562" s="192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  <c r="AB562" s="168"/>
      <c r="AC562" s="168"/>
      <c r="AD562" s="168"/>
      <c r="AE562" s="168"/>
      <c r="AF562" s="168"/>
      <c r="AG562" s="168"/>
      <c r="AH562" s="168"/>
      <c r="AI562" s="168"/>
      <c r="AJ562" s="168"/>
      <c r="AK562" s="168"/>
      <c r="AL562" s="168"/>
      <c r="AM562" s="168"/>
      <c r="AN562" s="168"/>
      <c r="AO562" s="168"/>
      <c r="AP562" s="168"/>
      <c r="AQ562" s="168"/>
      <c r="AR562" s="168"/>
      <c r="AS562" s="168"/>
      <c r="AT562" s="168"/>
      <c r="AU562" s="168"/>
      <c r="AV562" s="168"/>
      <c r="AW562" s="168"/>
      <c r="AX562" s="168"/>
      <c r="AY562" s="168"/>
      <c r="AZ562" s="168"/>
    </row>
    <row r="563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  <c r="AB563" s="168"/>
      <c r="AC563" s="168"/>
      <c r="AD563" s="168"/>
      <c r="AE563" s="168"/>
      <c r="AF563" s="168"/>
      <c r="AG563" s="168"/>
      <c r="AH563" s="168"/>
      <c r="AI563" s="168"/>
      <c r="AJ563" s="168"/>
      <c r="AK563" s="168"/>
      <c r="AL563" s="168"/>
      <c r="AM563" s="168"/>
      <c r="AN563" s="168"/>
      <c r="AO563" s="168"/>
      <c r="AP563" s="168"/>
      <c r="AQ563" s="168"/>
      <c r="AR563" s="168"/>
      <c r="AS563" s="168"/>
      <c r="AT563" s="168"/>
      <c r="AU563" s="168"/>
      <c r="AV563" s="168"/>
      <c r="AW563" s="168"/>
      <c r="AX563" s="168"/>
      <c r="AY563" s="168"/>
      <c r="AZ563" s="168"/>
    </row>
    <row r="564">
      <c r="A564" s="168"/>
      <c r="B564" s="126" t="s">
        <v>340</v>
      </c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  <c r="AB564" s="168"/>
      <c r="AC564" s="168"/>
      <c r="AD564" s="168"/>
      <c r="AE564" s="168"/>
      <c r="AF564" s="168"/>
      <c r="AG564" s="168"/>
      <c r="AH564" s="168"/>
      <c r="AI564" s="168"/>
      <c r="AJ564" s="168"/>
      <c r="AK564" s="168"/>
      <c r="AL564" s="168"/>
      <c r="AM564" s="168"/>
      <c r="AN564" s="168"/>
      <c r="AO564" s="168"/>
      <c r="AP564" s="168"/>
      <c r="AQ564" s="168"/>
      <c r="AR564" s="168"/>
      <c r="AS564" s="168"/>
      <c r="AT564" s="168"/>
      <c r="AU564" s="168"/>
      <c r="AV564" s="168"/>
      <c r="AW564" s="168"/>
      <c r="AX564" s="168"/>
      <c r="AY564" s="168"/>
      <c r="AZ564" s="168"/>
    </row>
    <row r="565">
      <c r="A565" s="168"/>
      <c r="B565" s="168"/>
      <c r="C565" s="168"/>
      <c r="D565" s="85" t="s">
        <v>285</v>
      </c>
      <c r="E565" s="193">
        <v>46143.0</v>
      </c>
      <c r="F565" s="193">
        <v>46508.0</v>
      </c>
      <c r="G565" s="193">
        <v>46874.0</v>
      </c>
      <c r="H565" s="193">
        <v>47239.0</v>
      </c>
      <c r="I565" s="193">
        <v>47604.0</v>
      </c>
      <c r="J565" s="193">
        <v>47969.0</v>
      </c>
      <c r="K565" s="193">
        <v>48335.0</v>
      </c>
      <c r="L565" s="193">
        <v>48700.0</v>
      </c>
      <c r="M565" s="193">
        <v>49065.0</v>
      </c>
      <c r="N565" s="193">
        <v>49430.0</v>
      </c>
      <c r="O565" s="193">
        <v>49796.0</v>
      </c>
      <c r="P565" s="193">
        <v>50161.0</v>
      </c>
      <c r="Q565" s="193">
        <v>50526.0</v>
      </c>
      <c r="R565" s="193">
        <v>50891.0</v>
      </c>
      <c r="S565" s="193">
        <v>51257.0</v>
      </c>
      <c r="T565" s="193">
        <v>51622.0</v>
      </c>
      <c r="U565" s="193">
        <v>51987.0</v>
      </c>
      <c r="V565" s="193">
        <v>52352.0</v>
      </c>
      <c r="W565" s="193">
        <v>52718.0</v>
      </c>
      <c r="X565" s="193">
        <v>53083.0</v>
      </c>
      <c r="Y565" s="193">
        <v>53448.0</v>
      </c>
      <c r="Z565" s="193">
        <v>53813.0</v>
      </c>
      <c r="AA565" s="193">
        <v>54179.0</v>
      </c>
      <c r="AB565" s="193">
        <v>54544.0</v>
      </c>
      <c r="AC565" s="193">
        <v>54909.0</v>
      </c>
      <c r="AD565" s="193">
        <v>55274.0</v>
      </c>
      <c r="AE565" s="193">
        <v>55640.0</v>
      </c>
      <c r="AF565" s="193">
        <v>56005.0</v>
      </c>
      <c r="AG565" s="193">
        <v>56370.0</v>
      </c>
      <c r="AH565" s="193">
        <v>56735.0</v>
      </c>
      <c r="AI565" s="193">
        <v>57101.0</v>
      </c>
      <c r="AJ565" s="193">
        <v>57466.0</v>
      </c>
      <c r="AK565" s="193">
        <v>57831.0</v>
      </c>
      <c r="AL565" s="193">
        <v>58196.0</v>
      </c>
      <c r="AM565" s="193">
        <v>58562.0</v>
      </c>
      <c r="AN565" s="193">
        <v>58927.0</v>
      </c>
      <c r="AO565" s="193">
        <v>59292.0</v>
      </c>
      <c r="AP565" s="193">
        <v>59657.0</v>
      </c>
      <c r="AQ565" s="193">
        <v>60023.0</v>
      </c>
      <c r="AR565" s="193">
        <v>60388.0</v>
      </c>
      <c r="AS565" s="193">
        <v>60753.0</v>
      </c>
      <c r="AT565" s="193">
        <v>61118.0</v>
      </c>
      <c r="AU565" s="193">
        <v>61484.0</v>
      </c>
      <c r="AV565" s="193">
        <v>61849.0</v>
      </c>
      <c r="AW565" s="193">
        <v>62214.0</v>
      </c>
      <c r="AX565" s="193">
        <v>62579.0</v>
      </c>
      <c r="AY565" s="193">
        <v>62945.0</v>
      </c>
      <c r="AZ565" s="193">
        <v>63310.0</v>
      </c>
    </row>
    <row r="566">
      <c r="A566" s="168"/>
      <c r="B566" s="139"/>
      <c r="C566" s="168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  <c r="AL566" s="196"/>
      <c r="AM566" s="196"/>
      <c r="AN566" s="196"/>
      <c r="AO566" s="196"/>
      <c r="AP566" s="196"/>
      <c r="AQ566" s="196"/>
      <c r="AR566" s="196"/>
      <c r="AS566" s="196"/>
      <c r="AT566" s="196"/>
      <c r="AU566" s="196"/>
      <c r="AV566" s="196"/>
      <c r="AW566" s="196"/>
      <c r="AX566" s="196"/>
      <c r="AY566" s="196"/>
      <c r="AZ566" s="196"/>
    </row>
    <row r="567">
      <c r="A567" s="168"/>
      <c r="B567" s="242" t="s">
        <v>503</v>
      </c>
      <c r="C567" s="168"/>
      <c r="D567" s="196">
        <f>D33</f>
        <v>111104</v>
      </c>
      <c r="E567" s="196">
        <f>D567*(1+msci_ann_gr)</f>
        <v>119070.1568</v>
      </c>
      <c r="F567" s="196">
        <f>E567*(1+msci_ann_gr)</f>
        <v>127607.487</v>
      </c>
      <c r="G567" s="196">
        <f>F567*(1+msci_ann_gr)</f>
        <v>136756.9439</v>
      </c>
      <c r="H567" s="196">
        <f>G567*(1+msci_ann_gr)</f>
        <v>146562.4167</v>
      </c>
      <c r="I567" s="196">
        <f>H567*(1+msci_ann_gr)</f>
        <v>157070.942</v>
      </c>
      <c r="J567" s="196">
        <f>I567*(1+msci_ann_gr)</f>
        <v>168332.9286</v>
      </c>
      <c r="K567" s="196">
        <f>J567*(1+msci_ann_gr)</f>
        <v>180402.3995</v>
      </c>
      <c r="L567" s="196">
        <f>K567*(1+msci_ann_gr)</f>
        <v>193337.2516</v>
      </c>
      <c r="M567" s="196">
        <f>L567*(1+msci_ann_gr)</f>
        <v>207199.5325</v>
      </c>
      <c r="N567" s="196">
        <f>M567*(1+msci_ann_gr)</f>
        <v>222055.739</v>
      </c>
      <c r="O567" s="196">
        <f>N567*(1+msci_ann_gr)</f>
        <v>237977.1355</v>
      </c>
      <c r="P567" s="196">
        <f>O567*(1+msci_ann_gr)</f>
        <v>255040.0961</v>
      </c>
      <c r="Q567" s="196">
        <f>P567*(1+msci_ann_gr)</f>
        <v>273326.471</v>
      </c>
      <c r="R567" s="196">
        <f>Q567*(1+msci_ann_gr)</f>
        <v>292923.979</v>
      </c>
      <c r="S567" s="196">
        <f>R567*(1+msci_ann_gr)</f>
        <v>313926.6283</v>
      </c>
      <c r="T567" s="196">
        <f>S567*(1+msci_ann_gr)</f>
        <v>336435.1675</v>
      </c>
      <c r="U567" s="196">
        <f>T567*(1+msci_ann_gr)</f>
        <v>360557.569</v>
      </c>
      <c r="V567" s="196">
        <f>U567*(1+msci_ann_gr)</f>
        <v>386409.5467</v>
      </c>
      <c r="W567" s="196">
        <f>V567*(1+msci_ann_gr)</f>
        <v>414115.1112</v>
      </c>
      <c r="X567" s="196">
        <f>W567*(1+msci_ann_gr)</f>
        <v>443807.1647</v>
      </c>
      <c r="Y567" s="196">
        <f>X567*(1+msci_ann_gr)</f>
        <v>475628.1384</v>
      </c>
      <c r="Z567" s="196">
        <f>Y567*(1+msci_ann_gr)</f>
        <v>509730.6759</v>
      </c>
      <c r="AA567" s="196">
        <f>Z567*(1+msci_ann_gr)</f>
        <v>546278.3654</v>
      </c>
      <c r="AB567" s="196">
        <f>AA567*(1+msci_ann_gr)</f>
        <v>585446.5242</v>
      </c>
      <c r="AC567" s="196">
        <f>AB567*(1+msci_ann_gr)</f>
        <v>627423.04</v>
      </c>
      <c r="AD567" s="196">
        <f>AC567*(1+msci_ann_gr)</f>
        <v>672409.2719</v>
      </c>
      <c r="AE567" s="196">
        <f>AD567*(1+msci_ann_gr)</f>
        <v>720621.0167</v>
      </c>
      <c r="AF567" s="196">
        <f>AE567*(1+msci_ann_gr)</f>
        <v>772289.5436</v>
      </c>
      <c r="AG567" s="196">
        <f>AF567*(1+msci_ann_gr)</f>
        <v>827662.7039</v>
      </c>
      <c r="AH567" s="196">
        <f>AG567*(1+msci_ann_gr)</f>
        <v>887006.1198</v>
      </c>
      <c r="AI567" s="196">
        <f>AH567*(1+msci_ann_gr)</f>
        <v>950604.4586</v>
      </c>
      <c r="AJ567" s="196">
        <f>AI567*(1+msci_ann_gr)</f>
        <v>1018762.798</v>
      </c>
      <c r="AK567" s="196">
        <f>AJ567*(1+msci_ann_gr)</f>
        <v>1091808.091</v>
      </c>
      <c r="AL567" s="196">
        <f>AK567*(1+msci_ann_gr)</f>
        <v>1170090.731</v>
      </c>
      <c r="AM567" s="196">
        <f>AL567*(1+msci_ann_gr)</f>
        <v>1253986.236</v>
      </c>
      <c r="AN567" s="196">
        <f>AM567*(1+msci_ann_gr)</f>
        <v>1343897.05</v>
      </c>
      <c r="AO567" s="196">
        <f>AN567*(1+msci_ann_gr)</f>
        <v>1440254.468</v>
      </c>
      <c r="AP567" s="196">
        <f>AO567*(1+msci_ann_gr)</f>
        <v>1543520.713</v>
      </c>
      <c r="AQ567" s="196">
        <f>AP567*(1+msci_ann_gr)</f>
        <v>1654191.149</v>
      </c>
      <c r="AR567" s="196">
        <f>AQ567*(1+msci_ann_gr)</f>
        <v>1772796.654</v>
      </c>
      <c r="AS567" s="196">
        <f>AR567*(1+msci_ann_gr)</f>
        <v>1899906.174</v>
      </c>
      <c r="AT567" s="196">
        <f>AS567*(1+msci_ann_gr)</f>
        <v>2036129.447</v>
      </c>
      <c r="AU567" s="196">
        <f>AT567*(1+msci_ann_gr)</f>
        <v>2182119.928</v>
      </c>
      <c r="AV567" s="196">
        <f>AU567*(1+msci_ann_gr)</f>
        <v>2338577.927</v>
      </c>
      <c r="AW567" s="196">
        <f>AV567*(1+msci_ann_gr)</f>
        <v>2506253.964</v>
      </c>
      <c r="AX567" s="196">
        <f>AW567*(1+msci_ann_gr)</f>
        <v>2685952.373</v>
      </c>
      <c r="AY567" s="196">
        <f>AX567*(1+msci_ann_gr)</f>
        <v>2878535.159</v>
      </c>
      <c r="AZ567" s="196">
        <f>AY567*(1+msci_ann_gr)</f>
        <v>3084926.129</v>
      </c>
    </row>
    <row r="568">
      <c r="A568" s="168"/>
      <c r="B568" s="242" t="s">
        <v>517</v>
      </c>
      <c r="C568" s="168"/>
      <c r="D568" s="196">
        <f>D567-C553</f>
        <v>96104</v>
      </c>
      <c r="E568" s="196">
        <f>(D568*(1+msci_ann_gr))-$C553</f>
        <v>87994.6568</v>
      </c>
      <c r="F568" s="196">
        <f>(E568*(1+msci_ann_gr))-$C553</f>
        <v>79303.87369</v>
      </c>
      <c r="G568" s="196">
        <f>(F568*(1+msci_ann_gr))-$C553</f>
        <v>69989.96144</v>
      </c>
      <c r="H568" s="196">
        <f>(G568*(1+msci_ann_gr))-$C553</f>
        <v>60008.24167</v>
      </c>
      <c r="I568" s="196">
        <f>(H568*(1+msci_ann_gr))-$C553</f>
        <v>49310.8326</v>
      </c>
      <c r="J568" s="196">
        <f>(I568*(1+msci_ann_gr))-$C553</f>
        <v>37846.4193</v>
      </c>
      <c r="K568" s="196">
        <f>(J568*(1+msci_ann_gr))-$C553</f>
        <v>25560.00756</v>
      </c>
      <c r="L568" s="196">
        <f>(K568*(1+msci_ann_gr))-$C553</f>
        <v>12392.6601</v>
      </c>
      <c r="M568" s="196">
        <f>(L568*(1+msci_ann_gr))-$C553</f>
        <v>-1718.786169</v>
      </c>
      <c r="N568" s="196">
        <f>(M568*(1+msci_ann_gr))-$C553</f>
        <v>-16842.02314</v>
      </c>
      <c r="O568" s="196">
        <f>(N568*(1+msci_ann_gr))-$C553</f>
        <v>-33049.5962</v>
      </c>
      <c r="P568" s="196">
        <f>(O568*(1+msci_ann_gr))-$C553</f>
        <v>-50419.25224</v>
      </c>
      <c r="Q568" s="196">
        <f>(P568*(1+msci_ann_gr))-$C553</f>
        <v>-69034.31263</v>
      </c>
      <c r="R568" s="196">
        <f>(Q568*(1+msci_ann_gr))-$C553</f>
        <v>-88984.07284</v>
      </c>
      <c r="S568" s="196">
        <f>(R568*(1+msci_ann_gr))-$C553</f>
        <v>-110364.2309</v>
      </c>
      <c r="T568" s="196">
        <f>(S568*(1+msci_ann_gr))-$C553</f>
        <v>-133277.3462</v>
      </c>
      <c r="U568" s="196">
        <f>(T568*(1+msci_ann_gr))-$C553</f>
        <v>-157833.3319</v>
      </c>
      <c r="V568" s="196">
        <f>(U568*(1+msci_ann_gr))-$C553</f>
        <v>-184149.9818</v>
      </c>
      <c r="W568" s="196">
        <f>(V568*(1+msci_ann_gr))-$C553</f>
        <v>-212353.5355</v>
      </c>
      <c r="X568" s="196">
        <f>(W568*(1+msci_ann_gr))-$C553</f>
        <v>-242579.284</v>
      </c>
      <c r="Y568" s="196">
        <f>(X568*(1+msci_ann_gr))-$C553</f>
        <v>-274972.2187</v>
      </c>
      <c r="Z568" s="196">
        <f>(Y568*(1+msci_ann_gr))-$C553</f>
        <v>-309687.7268</v>
      </c>
      <c r="AA568" s="196">
        <f>(Z568*(1+msci_ann_gr))-$C553</f>
        <v>-346892.3368</v>
      </c>
      <c r="AB568" s="196">
        <f>(AA568*(1+msci_ann_gr))-$C553</f>
        <v>-386764.5173</v>
      </c>
      <c r="AC568" s="196">
        <f>(AB568*(1+msci_ann_gr))-$C553</f>
        <v>-429495.5332</v>
      </c>
      <c r="AD568" s="196">
        <f>(AC568*(1+msci_ann_gr))-$C553</f>
        <v>-475290.363</v>
      </c>
      <c r="AE568" s="196">
        <f>(AD568*(1+msci_ann_gr))-$C553</f>
        <v>-524368.682</v>
      </c>
      <c r="AF568" s="196">
        <f>(AE568*(1+msci_ann_gr))-$C553</f>
        <v>-576965.9165</v>
      </c>
      <c r="AG568" s="196">
        <f>(AF568*(1+msci_ann_gr))-$C553</f>
        <v>-633334.3727</v>
      </c>
      <c r="AH568" s="196">
        <f>(AG568*(1+msci_ann_gr))-$C553</f>
        <v>-693744.4472</v>
      </c>
      <c r="AI568" s="196">
        <f>(AH568*(1+msci_ann_gr))-$C553</f>
        <v>-758485.9241</v>
      </c>
      <c r="AJ568" s="196">
        <f>(AI568*(1+msci_ann_gr))-$C553</f>
        <v>-827869.3649</v>
      </c>
      <c r="AK568" s="196">
        <f>(AJ568*(1+msci_ann_gr))-$C553</f>
        <v>-902227.5983</v>
      </c>
      <c r="AL568" s="196">
        <f>(AK568*(1+msci_ann_gr))-$C553</f>
        <v>-981917.3171</v>
      </c>
      <c r="AM568" s="196">
        <f>(AL568*(1+msci_ann_gr))-$C553</f>
        <v>-1067320.789</v>
      </c>
      <c r="AN568" s="196">
        <f>(AM568*(1+msci_ann_gr))-$C553</f>
        <v>-1158847.689</v>
      </c>
      <c r="AO568" s="196">
        <f>(AN568*(1+msci_ann_gr))-$C553</f>
        <v>-1256937.069</v>
      </c>
      <c r="AP568" s="196">
        <f>(AO568*(1+msci_ann_gr))-$C553</f>
        <v>-1362059.456</v>
      </c>
      <c r="AQ568" s="196">
        <f>(AP568*(1+msci_ann_gr))-$C553</f>
        <v>-1474719.119</v>
      </c>
      <c r="AR568" s="196">
        <f>(AQ568*(1+msci_ann_gr))-$C553</f>
        <v>-1595456.48</v>
      </c>
      <c r="AS568" s="196">
        <f>(AR568*(1+msci_ann_gr))-$C553</f>
        <v>-1724850.71</v>
      </c>
      <c r="AT568" s="196">
        <f>(AS568*(1+msci_ann_gr))-$C553</f>
        <v>-1863522.506</v>
      </c>
      <c r="AU568" s="196">
        <f>(AT568*(1+msci_ann_gr))-$C553</f>
        <v>-2012137.07</v>
      </c>
      <c r="AV568" s="196">
        <f>(AU568*(1+msci_ann_gr))-$C553</f>
        <v>-2171407.297</v>
      </c>
      <c r="AW568" s="196">
        <f>(AV568*(1+msci_ann_gr))-$C553</f>
        <v>-2342097.201</v>
      </c>
      <c r="AX568" s="196">
        <f>(AW568*(1+msci_ann_gr))-$C553</f>
        <v>-2525025.57</v>
      </c>
      <c r="AY568" s="196">
        <f>(AX568*(1+msci_ann_gr))-$C553</f>
        <v>-2721069.903</v>
      </c>
      <c r="AZ568" s="196">
        <f>(AY568*(1+msci_ann_gr))-$C553</f>
        <v>-2931170.615</v>
      </c>
    </row>
    <row r="569">
      <c r="A569" s="168"/>
      <c r="B569" s="242" t="s">
        <v>505</v>
      </c>
      <c r="C569" s="168"/>
      <c r="D569" s="239">
        <f>C553</f>
        <v>15000</v>
      </c>
      <c r="E569" s="196">
        <f>D569*(1+sp_ann_gr)+$C553</f>
        <v>31525.5</v>
      </c>
      <c r="F569" s="196">
        <f>E569*(1+sp_ann_gr)+$C553</f>
        <v>49731.64335</v>
      </c>
      <c r="G569" s="196">
        <f>F569*(1+sp_ann_gr)+$C553</f>
        <v>69789.35148</v>
      </c>
      <c r="H569" s="196">
        <f>G569*(1+sp_ann_gr)+$C553</f>
        <v>91886.92852</v>
      </c>
      <c r="I569" s="196">
        <f>H569*(1+sp_ann_gr)+$C553</f>
        <v>116231.8292</v>
      </c>
      <c r="J569" s="196">
        <f>I569*(1+sp_ann_gr)+$C553</f>
        <v>143052.6062</v>
      </c>
      <c r="K569" s="196">
        <f>J569*(1+sp_ann_gr)+$C553</f>
        <v>172601.0562</v>
      </c>
      <c r="L569" s="196">
        <f>K569*(1+sp_ann_gr)+$C553</f>
        <v>205154.5836</v>
      </c>
      <c r="M569" s="196">
        <f>L569*(1+sp_ann_gr)+$C553</f>
        <v>241018.8048</v>
      </c>
      <c r="N569" s="196">
        <f>M569*(1+sp_ann_gr)+$C553</f>
        <v>280530.4173</v>
      </c>
      <c r="O569" s="196">
        <f>N569*(1+sp_ann_gr)+$C553</f>
        <v>324060.3607</v>
      </c>
      <c r="P569" s="196">
        <f>O569*(1+sp_ann_gr)+$C553</f>
        <v>372017.2994</v>
      </c>
      <c r="Q569" s="196">
        <f>P569*(1+sp_ann_gr)+$C553</f>
        <v>424851.4587</v>
      </c>
      <c r="R569" s="196">
        <f>Q569*(1+sp_ann_gr)+$C553</f>
        <v>483058.8521</v>
      </c>
      <c r="S569" s="196">
        <f>R569*(1+sp_ann_gr)+$C553</f>
        <v>547185.9373</v>
      </c>
      <c r="T569" s="196">
        <f>S569*(1+sp_ann_gr)+$C553</f>
        <v>617834.7471</v>
      </c>
      <c r="U569" s="196">
        <f>T569*(1+sp_ann_gr)+$C553</f>
        <v>695668.5409</v>
      </c>
      <c r="V569" s="196">
        <f>U569*(1+sp_ann_gr)+$C553</f>
        <v>781418.0315</v>
      </c>
      <c r="W569" s="196">
        <f>V569*(1+sp_ann_gr)+$C553</f>
        <v>875888.2454</v>
      </c>
      <c r="X569" s="196">
        <f>W569*(1+sp_ann_gr)+$C553</f>
        <v>979966.0799</v>
      </c>
      <c r="Y569" s="196">
        <f>X569*(1+sp_ann_gr)+$C553</f>
        <v>1094628.63</v>
      </c>
      <c r="Z569" s="196">
        <f>Y569*(1+sp_ann_gr)+$C553</f>
        <v>1220952.362</v>
      </c>
      <c r="AA569" s="196">
        <f>Z569*(1+sp_ann_gr)+$C553</f>
        <v>1360123.217</v>
      </c>
      <c r="AB569" s="196">
        <f>AA569*(1+sp_ann_gr)+$C553</f>
        <v>1513447.748</v>
      </c>
      <c r="AC569" s="196">
        <f>AB569*(1+sp_ann_gr)+$C553</f>
        <v>1682365.384</v>
      </c>
      <c r="AD569" s="196">
        <f>AC569*(1+sp_ann_gr)+$C553</f>
        <v>1868461.944</v>
      </c>
      <c r="AE569" s="196">
        <f>AD569*(1+sp_ann_gr)+$C553</f>
        <v>2073484.524</v>
      </c>
      <c r="AF569" s="196">
        <f>AE569*(1+sp_ann_gr)+$C553</f>
        <v>2299357.9</v>
      </c>
      <c r="AG569" s="196">
        <f>AF569*(1+sp_ann_gr)+$C553</f>
        <v>2548202.598</v>
      </c>
      <c r="AH569" s="196">
        <f>AG569*(1+sp_ann_gr)+$C553</f>
        <v>2822354.802</v>
      </c>
      <c r="AI569" s="196">
        <f>AH569*(1+sp_ann_gr)+$C553</f>
        <v>3124388.286</v>
      </c>
      <c r="AJ569" s="196">
        <f>AI569*(1+sp_ann_gr)+$C553</f>
        <v>3457138.574</v>
      </c>
      <c r="AK569" s="196">
        <f>AJ569*(1+sp_ann_gr)+$C553</f>
        <v>3823729.567</v>
      </c>
      <c r="AL569" s="196">
        <f>AK569*(1+sp_ann_gr)+$C553</f>
        <v>4227602.864</v>
      </c>
      <c r="AM569" s="196">
        <f>AL569*(1+sp_ann_gr)+$C553</f>
        <v>4672550.076</v>
      </c>
      <c r="AN569" s="196">
        <f>AM569*(1+sp_ann_gr)+$C553</f>
        <v>5162748.418</v>
      </c>
      <c r="AO569" s="196">
        <f>AN569*(1+sp_ann_gr)+$C553</f>
        <v>5702799.932</v>
      </c>
      <c r="AP569" s="196">
        <f>AO569*(1+sp_ann_gr)+$C553</f>
        <v>6297774.686</v>
      </c>
      <c r="AQ569" s="196">
        <f>AP569*(1+sp_ann_gr)+$C553</f>
        <v>6953258.371</v>
      </c>
      <c r="AR569" s="196">
        <f>AQ569*(1+sp_ann_gr)+$C553</f>
        <v>7675404.747</v>
      </c>
      <c r="AS569" s="196">
        <f>AR569*(1+sp_ann_gr)+$C553</f>
        <v>8470993.41</v>
      </c>
      <c r="AT569" s="196">
        <f>AS569*(1+sp_ann_gr)+$C553</f>
        <v>9347493.44</v>
      </c>
      <c r="AU569" s="196">
        <f>AT569*(1+sp_ann_gr)+$C553</f>
        <v>10313133.52</v>
      </c>
      <c r="AV569" s="196">
        <f>AU569*(1+sp_ann_gr)+$C553</f>
        <v>11376979.2</v>
      </c>
      <c r="AW569" s="196">
        <f>AV569*(1+sp_ann_gr)+$C553</f>
        <v>12549017.99</v>
      </c>
      <c r="AX569" s="196">
        <f>AW569*(1+sp_ann_gr)+$C553</f>
        <v>13840253.12</v>
      </c>
      <c r="AY569" s="196">
        <f>AX569*(1+sp_ann_gr)+$C553</f>
        <v>15262806.86</v>
      </c>
      <c r="AZ569" s="196">
        <f>AY569*(1+sp_ann_gr)+$C553</f>
        <v>16830034.32</v>
      </c>
    </row>
    <row r="570">
      <c r="A570" s="168"/>
      <c r="B570" s="242" t="s">
        <v>506</v>
      </c>
      <c r="C570" s="168"/>
      <c r="D570" s="196">
        <f t="shared" ref="D570:AZ570" si="75">SUM(D568:D569)</f>
        <v>111104</v>
      </c>
      <c r="E570" s="196">
        <f t="shared" si="75"/>
        <v>119520.1568</v>
      </c>
      <c r="F570" s="196">
        <f t="shared" si="75"/>
        <v>129035.517</v>
      </c>
      <c r="G570" s="196">
        <f t="shared" si="75"/>
        <v>139779.3129</v>
      </c>
      <c r="H570" s="196">
        <f t="shared" si="75"/>
        <v>151895.1702</v>
      </c>
      <c r="I570" s="196">
        <f t="shared" si="75"/>
        <v>165542.6618</v>
      </c>
      <c r="J570" s="196">
        <f t="shared" si="75"/>
        <v>180899.0255</v>
      </c>
      <c r="K570" s="196">
        <f t="shared" si="75"/>
        <v>198161.0638</v>
      </c>
      <c r="L570" s="196">
        <f t="shared" si="75"/>
        <v>217547.2437</v>
      </c>
      <c r="M570" s="196">
        <f t="shared" si="75"/>
        <v>239300.0186</v>
      </c>
      <c r="N570" s="196">
        <f t="shared" si="75"/>
        <v>263688.3941</v>
      </c>
      <c r="O570" s="196">
        <f t="shared" si="75"/>
        <v>291010.7645</v>
      </c>
      <c r="P570" s="196">
        <f t="shared" si="75"/>
        <v>321598.0471</v>
      </c>
      <c r="Q570" s="196">
        <f t="shared" si="75"/>
        <v>355817.1461</v>
      </c>
      <c r="R570" s="196">
        <f t="shared" si="75"/>
        <v>394074.7792</v>
      </c>
      <c r="S570" s="196">
        <f t="shared" si="75"/>
        <v>436821.7065</v>
      </c>
      <c r="T570" s="196">
        <f t="shared" si="75"/>
        <v>484557.4009</v>
      </c>
      <c r="U570" s="196">
        <f t="shared" si="75"/>
        <v>537835.209</v>
      </c>
      <c r="V570" s="196">
        <f t="shared" si="75"/>
        <v>597268.0497</v>
      </c>
      <c r="W570" s="196">
        <f t="shared" si="75"/>
        <v>663534.7098</v>
      </c>
      <c r="X570" s="196">
        <f t="shared" si="75"/>
        <v>737386.7959</v>
      </c>
      <c r="Y570" s="196">
        <f t="shared" si="75"/>
        <v>819656.4115</v>
      </c>
      <c r="Z570" s="196">
        <f t="shared" si="75"/>
        <v>911264.6351</v>
      </c>
      <c r="AA570" s="196">
        <f t="shared" si="75"/>
        <v>1013230.88</v>
      </c>
      <c r="AB570" s="196">
        <f t="shared" si="75"/>
        <v>1126683.231</v>
      </c>
      <c r="AC570" s="196">
        <f t="shared" si="75"/>
        <v>1252869.851</v>
      </c>
      <c r="AD570" s="196">
        <f t="shared" si="75"/>
        <v>1393171.581</v>
      </c>
      <c r="AE570" s="196">
        <f t="shared" si="75"/>
        <v>1549115.842</v>
      </c>
      <c r="AF570" s="196">
        <f t="shared" si="75"/>
        <v>1722391.983</v>
      </c>
      <c r="AG570" s="196">
        <f t="shared" si="75"/>
        <v>1914868.225</v>
      </c>
      <c r="AH570" s="196">
        <f t="shared" si="75"/>
        <v>2128610.355</v>
      </c>
      <c r="AI570" s="196">
        <f t="shared" si="75"/>
        <v>2365902.362</v>
      </c>
      <c r="AJ570" s="196">
        <f t="shared" si="75"/>
        <v>2629269.209</v>
      </c>
      <c r="AK570" s="196">
        <f t="shared" si="75"/>
        <v>2921501.969</v>
      </c>
      <c r="AL570" s="196">
        <f t="shared" si="75"/>
        <v>3245685.547</v>
      </c>
      <c r="AM570" s="196">
        <f t="shared" si="75"/>
        <v>3605229.287</v>
      </c>
      <c r="AN570" s="196">
        <f t="shared" si="75"/>
        <v>4003900.729</v>
      </c>
      <c r="AO570" s="196">
        <f t="shared" si="75"/>
        <v>4445862.864</v>
      </c>
      <c r="AP570" s="196">
        <f t="shared" si="75"/>
        <v>4935715.229</v>
      </c>
      <c r="AQ570" s="196">
        <f t="shared" si="75"/>
        <v>5478539.252</v>
      </c>
      <c r="AR570" s="196">
        <f t="shared" si="75"/>
        <v>6079948.267</v>
      </c>
      <c r="AS570" s="196">
        <f t="shared" si="75"/>
        <v>6746142.7</v>
      </c>
      <c r="AT570" s="196">
        <f t="shared" si="75"/>
        <v>7483970.934</v>
      </c>
      <c r="AU570" s="196">
        <f t="shared" si="75"/>
        <v>8300996.453</v>
      </c>
      <c r="AV570" s="196">
        <f t="shared" si="75"/>
        <v>9205571.905</v>
      </c>
      <c r="AW570" s="196">
        <f t="shared" si="75"/>
        <v>10206920.79</v>
      </c>
      <c r="AX570" s="196">
        <f t="shared" si="75"/>
        <v>11315227.55</v>
      </c>
      <c r="AY570" s="196">
        <f t="shared" si="75"/>
        <v>12541736.95</v>
      </c>
      <c r="AZ570" s="196">
        <f t="shared" si="75"/>
        <v>13898863.7</v>
      </c>
    </row>
    <row r="571">
      <c r="A571" s="168"/>
      <c r="B571" s="242" t="s">
        <v>518</v>
      </c>
      <c r="C571" s="168"/>
      <c r="D571" s="199">
        <v>0.0</v>
      </c>
      <c r="E571" s="199">
        <f t="shared" ref="E571:AZ571" si="76">E570-E567+E560</f>
        <v>572.76435</v>
      </c>
      <c r="F571" s="199">
        <f t="shared" si="76"/>
        <v>1631.458288</v>
      </c>
      <c r="G571" s="199">
        <f t="shared" si="76"/>
        <v>3321.693871</v>
      </c>
      <c r="H571" s="199">
        <f t="shared" si="76"/>
        <v>5745.260539</v>
      </c>
      <c r="I571" s="199">
        <f t="shared" si="76"/>
        <v>9016.992892</v>
      </c>
      <c r="J571" s="199">
        <f t="shared" si="76"/>
        <v>13266.29048</v>
      </c>
      <c r="K571" s="199">
        <f t="shared" si="76"/>
        <v>18638.80599</v>
      </c>
      <c r="L571" s="199">
        <f t="shared" si="76"/>
        <v>25298.32002</v>
      </c>
      <c r="M571" s="199">
        <f t="shared" si="76"/>
        <v>33428.8223</v>
      </c>
      <c r="N571" s="199">
        <f t="shared" si="76"/>
        <v>43236.82176</v>
      </c>
      <c r="O571" s="199">
        <f t="shared" si="76"/>
        <v>54953.90969</v>
      </c>
      <c r="P571" s="199">
        <f t="shared" si="76"/>
        <v>68839.60316</v>
      </c>
      <c r="Q571" s="199">
        <f t="shared" si="76"/>
        <v>85184.49866</v>
      </c>
      <c r="R571" s="199">
        <f t="shared" si="76"/>
        <v>104313.7689</v>
      </c>
      <c r="S571" s="199">
        <f t="shared" si="76"/>
        <v>126591.0392</v>
      </c>
      <c r="T571" s="199">
        <f t="shared" si="76"/>
        <v>152422.6844</v>
      </c>
      <c r="U571" s="199">
        <f t="shared" si="76"/>
        <v>182262.5895</v>
      </c>
      <c r="V571" s="199">
        <f t="shared" si="76"/>
        <v>216617.4253</v>
      </c>
      <c r="W571" s="199">
        <f t="shared" si="76"/>
        <v>256052.4916</v>
      </c>
      <c r="X571" s="199">
        <f t="shared" si="76"/>
        <v>301198.1887</v>
      </c>
      <c r="Y571" s="199">
        <f t="shared" si="76"/>
        <v>352757.1836</v>
      </c>
      <c r="Z571" s="199">
        <f t="shared" si="76"/>
        <v>411512.3448</v>
      </c>
      <c r="AA571" s="199">
        <f t="shared" si="76"/>
        <v>478335.5251</v>
      </c>
      <c r="AB571" s="199">
        <f t="shared" si="76"/>
        <v>554197.2827</v>
      </c>
      <c r="AC571" s="199">
        <f t="shared" si="76"/>
        <v>640177.6397</v>
      </c>
      <c r="AD571" s="199">
        <f t="shared" si="76"/>
        <v>737477.9856</v>
      </c>
      <c r="AE571" s="199">
        <f t="shared" si="76"/>
        <v>847434.2472</v>
      </c>
      <c r="AF571" s="199">
        <f t="shared" si="76"/>
        <v>971531.4569</v>
      </c>
      <c r="AG571" s="199">
        <f t="shared" si="76"/>
        <v>1111419.866</v>
      </c>
      <c r="AH571" s="199">
        <f t="shared" si="76"/>
        <v>1268932.766</v>
      </c>
      <c r="AI571" s="199">
        <f t="shared" si="76"/>
        <v>1446106.191</v>
      </c>
      <c r="AJ571" s="199">
        <f t="shared" si="76"/>
        <v>1645200.711</v>
      </c>
      <c r="AK571" s="199">
        <f t="shared" si="76"/>
        <v>1868725.514</v>
      </c>
      <c r="AL571" s="199">
        <f t="shared" si="76"/>
        <v>2119465.036</v>
      </c>
      <c r="AM571" s="199">
        <f t="shared" si="76"/>
        <v>2400508.391</v>
      </c>
      <c r="AN571" s="199">
        <f t="shared" si="76"/>
        <v>2715281.899</v>
      </c>
      <c r="AO571" s="199">
        <f t="shared" si="76"/>
        <v>3067585.03</v>
      </c>
      <c r="AP571" s="199">
        <f t="shared" si="76"/>
        <v>3461630.127</v>
      </c>
      <c r="AQ571" s="199">
        <f t="shared" si="76"/>
        <v>3902086.293</v>
      </c>
      <c r="AR571" s="199">
        <f t="shared" si="76"/>
        <v>4394127.873</v>
      </c>
      <c r="AS571" s="199">
        <f t="shared" si="76"/>
        <v>4943488.019</v>
      </c>
      <c r="AT571" s="199">
        <f t="shared" si="76"/>
        <v>5556517.857</v>
      </c>
      <c r="AU571" s="199">
        <f t="shared" si="76"/>
        <v>6240251.84</v>
      </c>
      <c r="AV571" s="199">
        <f t="shared" si="76"/>
        <v>7002479.919</v>
      </c>
      <c r="AW571" s="199">
        <f t="shared" si="76"/>
        <v>7851827.258</v>
      </c>
      <c r="AX571" s="199">
        <f t="shared" si="76"/>
        <v>8797842.252</v>
      </c>
      <c r="AY571" s="199">
        <f t="shared" si="76"/>
        <v>9851093.726</v>
      </c>
      <c r="AZ571" s="199">
        <f t="shared" si="76"/>
        <v>11023278.25</v>
      </c>
    </row>
    <row r="572">
      <c r="A572" s="168"/>
      <c r="B572" s="168"/>
      <c r="C572" s="168"/>
      <c r="D572" s="209"/>
      <c r="E572" s="209"/>
      <c r="F572" s="209"/>
      <c r="G572" s="209"/>
      <c r="H572" s="209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  <c r="AC572" s="266"/>
      <c r="AD572" s="266"/>
      <c r="AE572" s="266"/>
      <c r="AF572" s="266"/>
      <c r="AG572" s="266"/>
      <c r="AH572" s="266"/>
      <c r="AI572" s="266"/>
      <c r="AJ572" s="266"/>
      <c r="AK572" s="266"/>
      <c r="AL572" s="266"/>
      <c r="AM572" s="266"/>
      <c r="AN572" s="266"/>
      <c r="AO572" s="266"/>
      <c r="AP572" s="266"/>
      <c r="AQ572" s="266"/>
      <c r="AR572" s="266"/>
      <c r="AS572" s="266"/>
      <c r="AT572" s="266"/>
      <c r="AU572" s="266"/>
      <c r="AV572" s="266"/>
      <c r="AW572" s="266"/>
      <c r="AX572" s="266"/>
      <c r="AY572" s="266"/>
      <c r="AZ572" s="266"/>
    </row>
    <row r="573">
      <c r="A573" s="168"/>
      <c r="B573" s="168"/>
      <c r="C573" s="168"/>
      <c r="D573" s="209"/>
      <c r="E573" s="209"/>
      <c r="F573" s="209"/>
      <c r="G573" s="209"/>
      <c r="H573" s="209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  <c r="AC573" s="266"/>
      <c r="AD573" s="266"/>
      <c r="AE573" s="266"/>
      <c r="AF573" s="266"/>
      <c r="AG573" s="266"/>
      <c r="AH573" s="266"/>
      <c r="AI573" s="266"/>
      <c r="AJ573" s="266"/>
      <c r="AK573" s="266"/>
      <c r="AL573" s="266"/>
      <c r="AM573" s="266"/>
      <c r="AN573" s="266"/>
      <c r="AO573" s="266"/>
      <c r="AP573" s="266"/>
      <c r="AQ573" s="266"/>
      <c r="AR573" s="266"/>
      <c r="AS573" s="266"/>
      <c r="AT573" s="266"/>
      <c r="AU573" s="266"/>
      <c r="AV573" s="266"/>
      <c r="AW573" s="266"/>
      <c r="AX573" s="266"/>
      <c r="AY573" s="266"/>
      <c r="AZ573" s="266"/>
    </row>
    <row r="574">
      <c r="A574" s="168"/>
      <c r="B574" s="168"/>
      <c r="C574" s="168"/>
      <c r="D574" s="209"/>
      <c r="E574" s="209"/>
      <c r="F574" s="209"/>
      <c r="G574" s="209"/>
      <c r="H574" s="209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  <c r="AC574" s="266"/>
      <c r="AD574" s="266"/>
      <c r="AE574" s="266"/>
      <c r="AF574" s="266"/>
      <c r="AG574" s="266"/>
      <c r="AH574" s="266"/>
      <c r="AI574" s="266"/>
      <c r="AJ574" s="266"/>
      <c r="AK574" s="266"/>
      <c r="AL574" s="266"/>
      <c r="AM574" s="266"/>
      <c r="AN574" s="266"/>
      <c r="AO574" s="266"/>
      <c r="AP574" s="266"/>
      <c r="AQ574" s="266"/>
      <c r="AR574" s="266"/>
      <c r="AS574" s="266"/>
      <c r="AT574" s="266"/>
      <c r="AU574" s="266"/>
      <c r="AV574" s="266"/>
      <c r="AW574" s="266"/>
      <c r="AX574" s="266"/>
      <c r="AY574" s="266"/>
      <c r="AZ574" s="266"/>
    </row>
    <row r="575">
      <c r="A575" s="168"/>
      <c r="B575" s="139" t="s">
        <v>309</v>
      </c>
      <c r="C575" s="168"/>
      <c r="D575" s="209"/>
      <c r="E575" s="209"/>
      <c r="F575" s="209"/>
      <c r="G575" s="209"/>
      <c r="H575" s="209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  <c r="AC575" s="266"/>
      <c r="AD575" s="266"/>
      <c r="AE575" s="266"/>
      <c r="AF575" s="266"/>
      <c r="AG575" s="266"/>
      <c r="AH575" s="266"/>
      <c r="AI575" s="266"/>
      <c r="AJ575" s="266"/>
      <c r="AK575" s="266"/>
      <c r="AL575" s="266"/>
      <c r="AM575" s="266"/>
      <c r="AN575" s="266"/>
      <c r="AO575" s="266"/>
      <c r="AP575" s="266"/>
      <c r="AQ575" s="266"/>
      <c r="AR575" s="266"/>
      <c r="AS575" s="266"/>
      <c r="AT575" s="266"/>
      <c r="AU575" s="266"/>
      <c r="AV575" s="266"/>
      <c r="AW575" s="266"/>
      <c r="AX575" s="266"/>
      <c r="AY575" s="266"/>
      <c r="AZ575" s="266"/>
    </row>
    <row r="576">
      <c r="A576" s="168"/>
      <c r="B576" s="168"/>
      <c r="C576" s="168"/>
      <c r="D576" s="267" t="s">
        <v>344</v>
      </c>
      <c r="E576" s="21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  <c r="AB576" s="168"/>
      <c r="AC576" s="168"/>
      <c r="AD576" s="168"/>
      <c r="AE576" s="168"/>
      <c r="AF576" s="168"/>
      <c r="AG576" s="168"/>
      <c r="AH576" s="168"/>
      <c r="AI576" s="168"/>
      <c r="AJ576" s="168"/>
      <c r="AK576" s="168"/>
      <c r="AL576" s="168"/>
      <c r="AM576" s="168"/>
      <c r="AN576" s="168"/>
      <c r="AO576" s="168"/>
      <c r="AP576" s="168"/>
      <c r="AQ576" s="168"/>
      <c r="AR576" s="168"/>
      <c r="AS576" s="168"/>
      <c r="AT576" s="168"/>
      <c r="AU576" s="168"/>
      <c r="AV576" s="168"/>
      <c r="AW576" s="168"/>
      <c r="AX576" s="168"/>
      <c r="AY576" s="168"/>
      <c r="AZ576" s="168"/>
    </row>
    <row r="577">
      <c r="A577" s="168"/>
      <c r="B577" s="168"/>
      <c r="C577" s="212"/>
      <c r="D577" s="268" t="s">
        <v>345</v>
      </c>
      <c r="E577" s="269" t="s">
        <v>251</v>
      </c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  <c r="AB577" s="168"/>
      <c r="AC577" s="168"/>
      <c r="AD577" s="168"/>
      <c r="AE577" s="168"/>
      <c r="AF577" s="168"/>
      <c r="AG577" s="168"/>
      <c r="AH577" s="168"/>
      <c r="AI577" s="168"/>
      <c r="AJ577" s="168"/>
      <c r="AK577" s="168"/>
      <c r="AL577" s="168"/>
      <c r="AM577" s="168"/>
      <c r="AN577" s="168"/>
      <c r="AO577" s="168"/>
      <c r="AP577" s="168"/>
      <c r="AQ577" s="168"/>
      <c r="AR577" s="168"/>
      <c r="AS577" s="168"/>
      <c r="AT577" s="168"/>
      <c r="AU577" s="168"/>
      <c r="AV577" s="168"/>
      <c r="AW577" s="168"/>
      <c r="AX577" s="168"/>
      <c r="AY577" s="168"/>
      <c r="AZ577" s="168"/>
    </row>
    <row r="578">
      <c r="A578" s="168"/>
      <c r="B578" s="175" t="str">
        <f>"1 year ("&amp;(Year(today())+1)&amp;")"</f>
        <v>1 year (2026)</v>
      </c>
      <c r="C578" s="215"/>
      <c r="D578" s="219">
        <f>E571</f>
        <v>572.76435</v>
      </c>
      <c r="E578" s="217" t="str">
        <f t="shared" ref="E578:E581" si="77">D578/$H$65</f>
        <v>#DIV/0!</v>
      </c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  <c r="AB578" s="168"/>
      <c r="AC578" s="168"/>
      <c r="AD578" s="168"/>
      <c r="AE578" s="168"/>
      <c r="AF578" s="168"/>
      <c r="AG578" s="168"/>
      <c r="AH578" s="168"/>
      <c r="AI578" s="168"/>
      <c r="AJ578" s="168"/>
      <c r="AK578" s="168"/>
      <c r="AL578" s="168"/>
      <c r="AM578" s="168"/>
      <c r="AN578" s="168"/>
      <c r="AO578" s="168"/>
      <c r="AP578" s="168"/>
      <c r="AQ578" s="168"/>
      <c r="AR578" s="168"/>
      <c r="AS578" s="168"/>
      <c r="AT578" s="168"/>
      <c r="AU578" s="168"/>
      <c r="AV578" s="168"/>
      <c r="AW578" s="168"/>
      <c r="AX578" s="168"/>
      <c r="AY578" s="168"/>
      <c r="AZ578" s="168"/>
    </row>
    <row r="579">
      <c r="A579" s="168"/>
      <c r="B579" s="175" t="str">
        <f>"5 years ("&amp;(Year(today())+5)&amp;")"</f>
        <v>5 years (2030)</v>
      </c>
      <c r="C579" s="218"/>
      <c r="D579" s="219">
        <f>I571</f>
        <v>9016.992892</v>
      </c>
      <c r="E579" s="217" t="str">
        <f t="shared" si="77"/>
        <v>#DIV/0!</v>
      </c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  <c r="AB579" s="168"/>
      <c r="AC579" s="168"/>
      <c r="AD579" s="168"/>
      <c r="AE579" s="168"/>
      <c r="AF579" s="168"/>
      <c r="AG579" s="168"/>
      <c r="AH579" s="168"/>
      <c r="AI579" s="168"/>
      <c r="AJ579" s="168"/>
      <c r="AK579" s="168"/>
      <c r="AL579" s="168"/>
      <c r="AM579" s="168"/>
      <c r="AN579" s="168"/>
      <c r="AO579" s="168"/>
      <c r="AP579" s="168"/>
      <c r="AQ579" s="168"/>
      <c r="AR579" s="168"/>
      <c r="AS579" s="168"/>
      <c r="AT579" s="168"/>
      <c r="AU579" s="168"/>
      <c r="AV579" s="168"/>
      <c r="AW579" s="168"/>
      <c r="AX579" s="168"/>
      <c r="AY579" s="168"/>
      <c r="AZ579" s="168"/>
    </row>
    <row r="580">
      <c r="A580" s="168"/>
      <c r="B580" s="175" t="str">
        <f>"10 years ("&amp;(Year(today())+10)&amp;")"</f>
        <v>10 years (2035)</v>
      </c>
      <c r="C580" s="218"/>
      <c r="D580" s="219">
        <f>N571</f>
        <v>43236.82176</v>
      </c>
      <c r="E580" s="217" t="str">
        <f t="shared" si="77"/>
        <v>#DIV/0!</v>
      </c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  <c r="AB580" s="168"/>
      <c r="AC580" s="168"/>
      <c r="AD580" s="168"/>
      <c r="AE580" s="168"/>
      <c r="AF580" s="168"/>
      <c r="AG580" s="168"/>
      <c r="AH580" s="168"/>
      <c r="AI580" s="168"/>
      <c r="AJ580" s="168"/>
      <c r="AK580" s="168"/>
      <c r="AL580" s="168"/>
      <c r="AM580" s="168"/>
      <c r="AN580" s="168"/>
      <c r="AO580" s="168"/>
      <c r="AP580" s="168"/>
      <c r="AQ580" s="168"/>
      <c r="AR580" s="168"/>
      <c r="AS580" s="168"/>
      <c r="AT580" s="168"/>
      <c r="AU580" s="168"/>
      <c r="AV580" s="168"/>
      <c r="AW580" s="168"/>
      <c r="AX580" s="168"/>
      <c r="AY580" s="168"/>
      <c r="AZ580" s="168"/>
    </row>
    <row r="581">
      <c r="A581" s="168"/>
      <c r="B581" s="175" t="str">
        <f>"20 years ("&amp;(Year(today())+20)&amp;")"</f>
        <v>20 years (2045)</v>
      </c>
      <c r="C581" s="222"/>
      <c r="D581" s="219">
        <f>X571</f>
        <v>301198.1887</v>
      </c>
      <c r="E581" s="217" t="str">
        <f t="shared" si="77"/>
        <v>#DIV/0!</v>
      </c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  <c r="AB581" s="168"/>
      <c r="AC581" s="168"/>
      <c r="AD581" s="168"/>
      <c r="AE581" s="168"/>
      <c r="AF581" s="168"/>
      <c r="AG581" s="168"/>
      <c r="AH581" s="168"/>
      <c r="AI581" s="168"/>
      <c r="AJ581" s="168"/>
      <c r="AK581" s="168"/>
      <c r="AL581" s="168"/>
      <c r="AM581" s="168"/>
      <c r="AN581" s="168"/>
      <c r="AO581" s="168"/>
      <c r="AP581" s="168"/>
      <c r="AQ581" s="168"/>
      <c r="AR581" s="168"/>
      <c r="AS581" s="168"/>
      <c r="AT581" s="168"/>
      <c r="AU581" s="168"/>
      <c r="AV581" s="168"/>
      <c r="AW581" s="168"/>
      <c r="AX581" s="168"/>
      <c r="AY581" s="168"/>
      <c r="AZ581" s="168"/>
    </row>
    <row r="582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  <c r="AB582" s="168"/>
      <c r="AC582" s="168"/>
      <c r="AD582" s="168"/>
      <c r="AE582" s="168"/>
      <c r="AF582" s="168"/>
      <c r="AG582" s="168"/>
      <c r="AH582" s="168"/>
      <c r="AI582" s="168"/>
      <c r="AJ582" s="168"/>
      <c r="AK582" s="168"/>
      <c r="AL582" s="168"/>
      <c r="AM582" s="168"/>
      <c r="AN582" s="168"/>
      <c r="AO582" s="168"/>
      <c r="AP582" s="168"/>
      <c r="AQ582" s="168"/>
      <c r="AR582" s="168"/>
      <c r="AS582" s="168"/>
      <c r="AT582" s="168"/>
      <c r="AU582" s="168"/>
      <c r="AV582" s="168"/>
      <c r="AW582" s="168"/>
      <c r="AX582" s="168"/>
      <c r="AY582" s="168"/>
      <c r="AZ582" s="168"/>
    </row>
    <row r="583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  <c r="AB583" s="168"/>
      <c r="AC583" s="168"/>
      <c r="AD583" s="168"/>
      <c r="AE583" s="168"/>
      <c r="AF583" s="168"/>
      <c r="AG583" s="168"/>
      <c r="AH583" s="168"/>
      <c r="AI583" s="168"/>
      <c r="AJ583" s="168"/>
      <c r="AK583" s="168"/>
      <c r="AL583" s="168"/>
      <c r="AM583" s="168"/>
      <c r="AN583" s="168"/>
      <c r="AO583" s="168"/>
      <c r="AP583" s="168"/>
      <c r="AQ583" s="168"/>
      <c r="AR583" s="168"/>
      <c r="AS583" s="168"/>
      <c r="AT583" s="168"/>
      <c r="AU583" s="168"/>
      <c r="AV583" s="168"/>
      <c r="AW583" s="168"/>
      <c r="AX583" s="168"/>
      <c r="AY583" s="168"/>
      <c r="AZ583" s="168"/>
    </row>
    <row r="584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  <c r="AB584" s="168"/>
      <c r="AC584" s="168"/>
      <c r="AD584" s="168"/>
      <c r="AE584" s="168"/>
      <c r="AF584" s="168"/>
      <c r="AG584" s="168"/>
      <c r="AH584" s="168"/>
      <c r="AI584" s="168"/>
      <c r="AJ584" s="168"/>
      <c r="AK584" s="168"/>
      <c r="AL584" s="168"/>
      <c r="AM584" s="168"/>
      <c r="AN584" s="168"/>
      <c r="AO584" s="168"/>
      <c r="AP584" s="168"/>
      <c r="AQ584" s="168"/>
      <c r="AR584" s="168"/>
      <c r="AS584" s="168"/>
      <c r="AT584" s="168"/>
      <c r="AU584" s="168"/>
      <c r="AV584" s="168"/>
      <c r="AW584" s="168"/>
      <c r="AX584" s="168"/>
      <c r="AY584" s="168"/>
      <c r="AZ584" s="168"/>
    </row>
    <row r="585">
      <c r="A585" s="167" t="s">
        <v>519</v>
      </c>
      <c r="B585" s="252" t="s">
        <v>520</v>
      </c>
    </row>
    <row r="587">
      <c r="A587" s="168"/>
      <c r="B587" s="139" t="s">
        <v>280</v>
      </c>
      <c r="C587" s="224" t="s">
        <v>521</v>
      </c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  <c r="AB587" s="168"/>
      <c r="AC587" s="168"/>
      <c r="AD587" s="168"/>
      <c r="AE587" s="168"/>
      <c r="AF587" s="168"/>
      <c r="AG587" s="168"/>
      <c r="AH587" s="168"/>
      <c r="AI587" s="168"/>
      <c r="AJ587" s="168"/>
      <c r="AK587" s="168"/>
      <c r="AL587" s="168"/>
      <c r="AM587" s="168"/>
      <c r="AN587" s="168"/>
      <c r="AO587" s="168"/>
      <c r="AP587" s="168"/>
      <c r="AQ587" s="168"/>
      <c r="AR587" s="168"/>
      <c r="AS587" s="168"/>
      <c r="AT587" s="168"/>
      <c r="AU587" s="168"/>
      <c r="AV587" s="168"/>
      <c r="AW587" s="168"/>
      <c r="AX587" s="168"/>
      <c r="AY587" s="168"/>
      <c r="AZ587" s="168"/>
    </row>
    <row r="588">
      <c r="A588" s="168"/>
      <c r="B588" s="168"/>
      <c r="C588" s="224" t="s">
        <v>422</v>
      </c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  <c r="AB588" s="168"/>
      <c r="AC588" s="168"/>
      <c r="AD588" s="168"/>
      <c r="AE588" s="168"/>
      <c r="AF588" s="168"/>
      <c r="AG588" s="168"/>
      <c r="AH588" s="168"/>
      <c r="AI588" s="168"/>
      <c r="AJ588" s="168"/>
      <c r="AK588" s="168"/>
      <c r="AL588" s="168"/>
      <c r="AM588" s="168"/>
      <c r="AN588" s="168"/>
      <c r="AO588" s="168"/>
      <c r="AP588" s="168"/>
      <c r="AQ588" s="168"/>
      <c r="AR588" s="168"/>
      <c r="AS588" s="168"/>
      <c r="AT588" s="168"/>
      <c r="AU588" s="168"/>
      <c r="AV588" s="168"/>
      <c r="AW588" s="168"/>
      <c r="AX588" s="168"/>
      <c r="AY588" s="168"/>
      <c r="AZ588" s="168"/>
    </row>
    <row r="589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  <c r="AB589" s="168"/>
      <c r="AC589" s="168"/>
      <c r="AD589" s="168"/>
      <c r="AE589" s="168"/>
      <c r="AF589" s="168"/>
      <c r="AG589" s="168"/>
      <c r="AH589" s="168"/>
      <c r="AI589" s="168"/>
      <c r="AJ589" s="168"/>
      <c r="AK589" s="168"/>
      <c r="AL589" s="168"/>
      <c r="AM589" s="168"/>
      <c r="AN589" s="168"/>
      <c r="AO589" s="168"/>
      <c r="AP589" s="168"/>
      <c r="AQ589" s="168"/>
      <c r="AR589" s="168"/>
      <c r="AS589" s="168"/>
      <c r="AT589" s="168"/>
      <c r="AU589" s="168"/>
      <c r="AV589" s="168"/>
      <c r="AW589" s="168"/>
      <c r="AX589" s="168"/>
      <c r="AY589" s="168"/>
      <c r="AZ589" s="168"/>
    </row>
    <row r="590">
      <c r="A590" s="168"/>
      <c r="B590" s="259" t="s">
        <v>314</v>
      </c>
      <c r="C590" s="173" t="s">
        <v>423</v>
      </c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  <c r="AB590" s="168"/>
      <c r="AC590" s="168"/>
      <c r="AD590" s="168"/>
      <c r="AE590" s="168"/>
      <c r="AF590" s="168"/>
      <c r="AG590" s="168"/>
      <c r="AH590" s="168"/>
      <c r="AI590" s="168"/>
      <c r="AJ590" s="168"/>
      <c r="AK590" s="168"/>
      <c r="AL590" s="168"/>
      <c r="AM590" s="168"/>
      <c r="AN590" s="168"/>
      <c r="AO590" s="168"/>
      <c r="AP590" s="168"/>
      <c r="AQ590" s="168"/>
      <c r="AR590" s="168"/>
      <c r="AS590" s="168"/>
      <c r="AT590" s="168"/>
      <c r="AU590" s="168"/>
      <c r="AV590" s="168"/>
      <c r="AW590" s="168"/>
      <c r="AX590" s="168"/>
      <c r="AY590" s="168"/>
      <c r="AZ590" s="168"/>
    </row>
    <row r="591">
      <c r="A591" s="168"/>
      <c r="B591" s="259" t="s">
        <v>316</v>
      </c>
      <c r="C591" s="173" t="s">
        <v>317</v>
      </c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  <c r="AB591" s="168"/>
      <c r="AC591" s="168"/>
      <c r="AD591" s="168"/>
      <c r="AE591" s="168"/>
      <c r="AF591" s="168"/>
      <c r="AG591" s="168"/>
      <c r="AH591" s="168"/>
      <c r="AI591" s="168"/>
      <c r="AJ591" s="168"/>
      <c r="AK591" s="168"/>
      <c r="AL591" s="168"/>
      <c r="AM591" s="168"/>
      <c r="AN591" s="168"/>
      <c r="AO591" s="168"/>
      <c r="AP591" s="168"/>
      <c r="AQ591" s="168"/>
      <c r="AR591" s="168"/>
      <c r="AS591" s="168"/>
      <c r="AT591" s="168"/>
      <c r="AU591" s="168"/>
      <c r="AV591" s="168"/>
      <c r="AW591" s="168"/>
      <c r="AX591" s="168"/>
      <c r="AY591" s="168"/>
      <c r="AZ591" s="168"/>
    </row>
    <row r="592">
      <c r="A592" s="168"/>
      <c r="B592" s="259" t="s">
        <v>318</v>
      </c>
      <c r="C592" s="173" t="s">
        <v>319</v>
      </c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  <c r="AB592" s="168"/>
      <c r="AC592" s="168"/>
      <c r="AD592" s="168"/>
      <c r="AE592" s="168"/>
      <c r="AF592" s="168"/>
      <c r="AG592" s="168"/>
      <c r="AH592" s="168"/>
      <c r="AI592" s="168"/>
      <c r="AJ592" s="168"/>
      <c r="AK592" s="168"/>
      <c r="AL592" s="168"/>
      <c r="AM592" s="168"/>
      <c r="AN592" s="168"/>
      <c r="AO592" s="168"/>
      <c r="AP592" s="168"/>
      <c r="AQ592" s="168"/>
      <c r="AR592" s="168"/>
      <c r="AS592" s="168"/>
      <c r="AT592" s="168"/>
      <c r="AU592" s="168"/>
      <c r="AV592" s="168"/>
      <c r="AW592" s="168"/>
      <c r="AX592" s="168"/>
      <c r="AY592" s="168"/>
      <c r="AZ592" s="168"/>
    </row>
    <row r="593">
      <c r="A593" s="168"/>
      <c r="B593" s="276" t="s">
        <v>426</v>
      </c>
      <c r="C593" s="277">
        <f>uk_lt_ir</f>
        <v>0.035</v>
      </c>
      <c r="D593" s="278" t="s">
        <v>427</v>
      </c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  <c r="AB593" s="168"/>
      <c r="AC593" s="168"/>
      <c r="AD593" s="168"/>
      <c r="AE593" s="168"/>
      <c r="AF593" s="168"/>
      <c r="AG593" s="168"/>
      <c r="AH593" s="168"/>
      <c r="AI593" s="168"/>
      <c r="AJ593" s="168"/>
      <c r="AK593" s="168"/>
      <c r="AL593" s="168"/>
      <c r="AM593" s="168"/>
      <c r="AN593" s="168"/>
      <c r="AO593" s="168"/>
      <c r="AP593" s="168"/>
      <c r="AQ593" s="168"/>
      <c r="AR593" s="168"/>
      <c r="AS593" s="168"/>
      <c r="AT593" s="168"/>
      <c r="AU593" s="168"/>
      <c r="AV593" s="168"/>
      <c r="AW593" s="168"/>
      <c r="AX593" s="168"/>
      <c r="AY593" s="168"/>
      <c r="AZ593" s="168"/>
    </row>
    <row r="594">
      <c r="A594" s="168"/>
      <c r="B594" s="168"/>
      <c r="C594" s="192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  <c r="AB594" s="168"/>
      <c r="AC594" s="168"/>
      <c r="AD594" s="168"/>
      <c r="AE594" s="168"/>
      <c r="AF594" s="168"/>
      <c r="AG594" s="168"/>
      <c r="AH594" s="168"/>
      <c r="AI594" s="168"/>
      <c r="AJ594" s="168"/>
      <c r="AK594" s="168"/>
      <c r="AL594" s="168"/>
      <c r="AM594" s="168"/>
      <c r="AN594" s="168"/>
      <c r="AO594" s="168"/>
      <c r="AP594" s="168"/>
      <c r="AQ594" s="168"/>
      <c r="AR594" s="168"/>
      <c r="AS594" s="168"/>
      <c r="AT594" s="168"/>
      <c r="AU594" s="168"/>
      <c r="AV594" s="168"/>
      <c r="AW594" s="168"/>
      <c r="AX594" s="168"/>
      <c r="AY594" s="168"/>
      <c r="AZ594" s="168"/>
    </row>
    <row r="595">
      <c r="A595" s="168"/>
      <c r="B595" s="260" t="s">
        <v>203</v>
      </c>
      <c r="C595" s="260" t="s">
        <v>440</v>
      </c>
      <c r="D595" s="85" t="s">
        <v>224</v>
      </c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  <c r="AB595" s="168"/>
      <c r="AC595" s="168"/>
      <c r="AD595" s="168"/>
      <c r="AE595" s="168"/>
      <c r="AF595" s="168"/>
      <c r="AG595" s="168"/>
      <c r="AH595" s="168"/>
      <c r="AI595" s="168"/>
      <c r="AJ595" s="168"/>
      <c r="AK595" s="168"/>
      <c r="AL595" s="168"/>
      <c r="AM595" s="168"/>
      <c r="AN595" s="168"/>
      <c r="AO595" s="168"/>
      <c r="AP595" s="168"/>
      <c r="AQ595" s="168"/>
      <c r="AR595" s="168"/>
      <c r="AS595" s="168"/>
      <c r="AT595" s="168"/>
      <c r="AU595" s="168"/>
      <c r="AV595" s="168"/>
      <c r="AW595" s="168"/>
      <c r="AX595" s="168"/>
      <c r="AY595" s="168"/>
      <c r="AZ595" s="168"/>
    </row>
    <row r="596">
      <c r="A596" s="168"/>
      <c r="B596" s="131" t="s">
        <v>465</v>
      </c>
      <c r="C596" s="286">
        <f>(E14+E229+E149)/12</f>
        <v>129.467104</v>
      </c>
      <c r="D596" s="225" t="s">
        <v>522</v>
      </c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  <c r="AB596" s="168"/>
      <c r="AC596" s="168"/>
      <c r="AD596" s="168"/>
      <c r="AE596" s="168"/>
      <c r="AF596" s="168"/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168"/>
      <c r="AT596" s="168"/>
      <c r="AU596" s="168"/>
      <c r="AV596" s="168"/>
      <c r="AW596" s="168"/>
      <c r="AX596" s="168"/>
      <c r="AY596" s="168"/>
      <c r="AZ596" s="168"/>
    </row>
    <row r="597">
      <c r="A597" s="168"/>
      <c r="B597" s="168"/>
      <c r="C597" s="192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  <c r="AB597" s="168"/>
      <c r="AC597" s="168"/>
      <c r="AD597" s="168"/>
      <c r="AE597" s="168"/>
      <c r="AF597" s="168"/>
      <c r="AG597" s="168"/>
      <c r="AH597" s="168"/>
      <c r="AI597" s="168"/>
      <c r="AJ597" s="168"/>
      <c r="AK597" s="168"/>
      <c r="AL597" s="168"/>
      <c r="AM597" s="168"/>
      <c r="AN597" s="168"/>
      <c r="AO597" s="168"/>
      <c r="AP597" s="168"/>
      <c r="AQ597" s="168"/>
      <c r="AR597" s="168"/>
      <c r="AS597" s="168"/>
      <c r="AT597" s="168"/>
      <c r="AU597" s="168"/>
      <c r="AV597" s="168"/>
      <c r="AW597" s="168"/>
      <c r="AX597" s="168"/>
      <c r="AY597" s="168"/>
      <c r="AZ597" s="168"/>
    </row>
    <row r="59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  <c r="AB598" s="168"/>
      <c r="AC598" s="168"/>
      <c r="AD598" s="168"/>
      <c r="AE598" s="168"/>
      <c r="AF598" s="168"/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168"/>
      <c r="AT598" s="168"/>
      <c r="AU598" s="168"/>
      <c r="AV598" s="168"/>
      <c r="AW598" s="168"/>
      <c r="AX598" s="168"/>
      <c r="AY598" s="168"/>
      <c r="AZ598" s="168"/>
    </row>
    <row r="599">
      <c r="A599" s="274"/>
      <c r="B599" s="289" t="s">
        <v>336</v>
      </c>
      <c r="C599" s="290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  <c r="AA599" s="274"/>
      <c r="AB599" s="274"/>
      <c r="AC599" s="274"/>
      <c r="AD599" s="274"/>
      <c r="AE599" s="274"/>
      <c r="AF599" s="274"/>
      <c r="AG599" s="274"/>
      <c r="AH599" s="274"/>
      <c r="AI599" s="274"/>
      <c r="AJ599" s="274"/>
      <c r="AK599" s="274"/>
      <c r="AL599" s="274"/>
      <c r="AM599" s="274"/>
      <c r="AN599" s="274"/>
      <c r="AO599" s="274"/>
      <c r="AP599" s="274"/>
      <c r="AQ599" s="274"/>
      <c r="AR599" s="274"/>
      <c r="AS599" s="274"/>
      <c r="AT599" s="274"/>
      <c r="AU599" s="274"/>
      <c r="AV599" s="274"/>
      <c r="AW599" s="274"/>
      <c r="AX599" s="274"/>
      <c r="AY599" s="274"/>
      <c r="AZ599" s="274"/>
    </row>
    <row r="600">
      <c r="A600" s="274"/>
      <c r="B600" s="291"/>
      <c r="C600" s="292"/>
      <c r="D600" s="260" t="s">
        <v>285</v>
      </c>
      <c r="E600" s="193">
        <v>46143.0</v>
      </c>
      <c r="F600" s="193">
        <v>46508.0</v>
      </c>
      <c r="G600" s="193">
        <v>46874.0</v>
      </c>
      <c r="H600" s="193">
        <v>47239.0</v>
      </c>
      <c r="I600" s="193">
        <v>47604.0</v>
      </c>
      <c r="J600" s="193">
        <v>47969.0</v>
      </c>
      <c r="K600" s="193">
        <v>48335.0</v>
      </c>
      <c r="L600" s="193">
        <v>48700.0</v>
      </c>
      <c r="M600" s="193">
        <v>49065.0</v>
      </c>
      <c r="N600" s="193">
        <v>49430.0</v>
      </c>
      <c r="O600" s="193">
        <v>49796.0</v>
      </c>
      <c r="P600" s="193">
        <v>50161.0</v>
      </c>
      <c r="Q600" s="193">
        <v>50526.0</v>
      </c>
      <c r="R600" s="193">
        <v>50891.0</v>
      </c>
      <c r="S600" s="193">
        <v>51257.0</v>
      </c>
      <c r="T600" s="193">
        <v>51622.0</v>
      </c>
      <c r="U600" s="193">
        <v>51987.0</v>
      </c>
      <c r="V600" s="193">
        <v>52352.0</v>
      </c>
      <c r="W600" s="193">
        <v>52718.0</v>
      </c>
      <c r="X600" s="193">
        <v>53083.0</v>
      </c>
      <c r="Y600" s="193">
        <v>53448.0</v>
      </c>
      <c r="Z600" s="193">
        <v>53813.0</v>
      </c>
      <c r="AA600" s="193">
        <v>54179.0</v>
      </c>
      <c r="AB600" s="193">
        <v>54544.0</v>
      </c>
      <c r="AC600" s="193">
        <v>54909.0</v>
      </c>
      <c r="AD600" s="193">
        <v>55274.0</v>
      </c>
      <c r="AE600" s="193">
        <v>55640.0</v>
      </c>
      <c r="AF600" s="193">
        <v>56005.0</v>
      </c>
      <c r="AG600" s="193">
        <v>56370.0</v>
      </c>
      <c r="AH600" s="193">
        <v>56735.0</v>
      </c>
      <c r="AI600" s="193">
        <v>57101.0</v>
      </c>
      <c r="AJ600" s="193">
        <v>57466.0</v>
      </c>
      <c r="AK600" s="193">
        <v>57831.0</v>
      </c>
      <c r="AL600" s="193">
        <v>58196.0</v>
      </c>
      <c r="AM600" s="193">
        <v>58562.0</v>
      </c>
      <c r="AN600" s="193">
        <v>58927.0</v>
      </c>
      <c r="AO600" s="193">
        <v>59292.0</v>
      </c>
      <c r="AP600" s="193">
        <v>59657.0</v>
      </c>
      <c r="AQ600" s="193">
        <v>60023.0</v>
      </c>
      <c r="AR600" s="193">
        <v>60388.0</v>
      </c>
      <c r="AS600" s="193">
        <v>60753.0</v>
      </c>
      <c r="AT600" s="193">
        <v>61118.0</v>
      </c>
      <c r="AU600" s="193">
        <v>61484.0</v>
      </c>
      <c r="AV600" s="193">
        <v>61849.0</v>
      </c>
      <c r="AW600" s="193">
        <v>62214.0</v>
      </c>
      <c r="AX600" s="193">
        <v>62579.0</v>
      </c>
      <c r="AY600" s="193">
        <v>62945.0</v>
      </c>
      <c r="AZ600" s="193">
        <v>63310.0</v>
      </c>
    </row>
    <row r="601">
      <c r="A601" s="274"/>
      <c r="B601" s="242" t="s">
        <v>523</v>
      </c>
      <c r="C601" s="290"/>
      <c r="D601" s="199">
        <f t="shared" ref="D601:AZ601" si="78">-12*$C$596</f>
        <v>-1553.605248</v>
      </c>
      <c r="E601" s="199">
        <f t="shared" si="78"/>
        <v>-1553.605248</v>
      </c>
      <c r="F601" s="199">
        <f t="shared" si="78"/>
        <v>-1553.605248</v>
      </c>
      <c r="G601" s="199">
        <f t="shared" si="78"/>
        <v>-1553.605248</v>
      </c>
      <c r="H601" s="199">
        <f t="shared" si="78"/>
        <v>-1553.605248</v>
      </c>
      <c r="I601" s="199">
        <f t="shared" si="78"/>
        <v>-1553.605248</v>
      </c>
      <c r="J601" s="199">
        <f t="shared" si="78"/>
        <v>-1553.605248</v>
      </c>
      <c r="K601" s="199">
        <f t="shared" si="78"/>
        <v>-1553.605248</v>
      </c>
      <c r="L601" s="199">
        <f t="shared" si="78"/>
        <v>-1553.605248</v>
      </c>
      <c r="M601" s="199">
        <f t="shared" si="78"/>
        <v>-1553.605248</v>
      </c>
      <c r="N601" s="199">
        <f t="shared" si="78"/>
        <v>-1553.605248</v>
      </c>
      <c r="O601" s="199">
        <f t="shared" si="78"/>
        <v>-1553.605248</v>
      </c>
      <c r="P601" s="199">
        <f t="shared" si="78"/>
        <v>-1553.605248</v>
      </c>
      <c r="Q601" s="199">
        <f t="shared" si="78"/>
        <v>-1553.605248</v>
      </c>
      <c r="R601" s="199">
        <f t="shared" si="78"/>
        <v>-1553.605248</v>
      </c>
      <c r="S601" s="199">
        <f t="shared" si="78"/>
        <v>-1553.605248</v>
      </c>
      <c r="T601" s="199">
        <f t="shared" si="78"/>
        <v>-1553.605248</v>
      </c>
      <c r="U601" s="199">
        <f t="shared" si="78"/>
        <v>-1553.605248</v>
      </c>
      <c r="V601" s="199">
        <f t="shared" si="78"/>
        <v>-1553.605248</v>
      </c>
      <c r="W601" s="199">
        <f t="shared" si="78"/>
        <v>-1553.605248</v>
      </c>
      <c r="X601" s="199">
        <f t="shared" si="78"/>
        <v>-1553.605248</v>
      </c>
      <c r="Y601" s="199">
        <f t="shared" si="78"/>
        <v>-1553.605248</v>
      </c>
      <c r="Z601" s="199">
        <f t="shared" si="78"/>
        <v>-1553.605248</v>
      </c>
      <c r="AA601" s="199">
        <f t="shared" si="78"/>
        <v>-1553.605248</v>
      </c>
      <c r="AB601" s="199">
        <f t="shared" si="78"/>
        <v>-1553.605248</v>
      </c>
      <c r="AC601" s="199">
        <f t="shared" si="78"/>
        <v>-1553.605248</v>
      </c>
      <c r="AD601" s="199">
        <f t="shared" si="78"/>
        <v>-1553.605248</v>
      </c>
      <c r="AE601" s="199">
        <f t="shared" si="78"/>
        <v>-1553.605248</v>
      </c>
      <c r="AF601" s="199">
        <f t="shared" si="78"/>
        <v>-1553.605248</v>
      </c>
      <c r="AG601" s="199">
        <f t="shared" si="78"/>
        <v>-1553.605248</v>
      </c>
      <c r="AH601" s="199">
        <f t="shared" si="78"/>
        <v>-1553.605248</v>
      </c>
      <c r="AI601" s="199">
        <f t="shared" si="78"/>
        <v>-1553.605248</v>
      </c>
      <c r="AJ601" s="199">
        <f t="shared" si="78"/>
        <v>-1553.605248</v>
      </c>
      <c r="AK601" s="199">
        <f t="shared" si="78"/>
        <v>-1553.605248</v>
      </c>
      <c r="AL601" s="199">
        <f t="shared" si="78"/>
        <v>-1553.605248</v>
      </c>
      <c r="AM601" s="199">
        <f t="shared" si="78"/>
        <v>-1553.605248</v>
      </c>
      <c r="AN601" s="199">
        <f t="shared" si="78"/>
        <v>-1553.605248</v>
      </c>
      <c r="AO601" s="199">
        <f t="shared" si="78"/>
        <v>-1553.605248</v>
      </c>
      <c r="AP601" s="199">
        <f t="shared" si="78"/>
        <v>-1553.605248</v>
      </c>
      <c r="AQ601" s="199">
        <f t="shared" si="78"/>
        <v>-1553.605248</v>
      </c>
      <c r="AR601" s="199">
        <f t="shared" si="78"/>
        <v>-1553.605248</v>
      </c>
      <c r="AS601" s="199">
        <f t="shared" si="78"/>
        <v>-1553.605248</v>
      </c>
      <c r="AT601" s="199">
        <f t="shared" si="78"/>
        <v>-1553.605248</v>
      </c>
      <c r="AU601" s="199">
        <f t="shared" si="78"/>
        <v>-1553.605248</v>
      </c>
      <c r="AV601" s="199">
        <f t="shared" si="78"/>
        <v>-1553.605248</v>
      </c>
      <c r="AW601" s="199">
        <f t="shared" si="78"/>
        <v>-1553.605248</v>
      </c>
      <c r="AX601" s="199">
        <f t="shared" si="78"/>
        <v>-1553.605248</v>
      </c>
      <c r="AY601" s="199">
        <f t="shared" si="78"/>
        <v>-1553.605248</v>
      </c>
      <c r="AZ601" s="199">
        <f t="shared" si="78"/>
        <v>-1553.605248</v>
      </c>
    </row>
    <row r="602">
      <c r="A602" s="168"/>
      <c r="B602" s="126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  <c r="AB602" s="168"/>
      <c r="AC602" s="168"/>
      <c r="AD602" s="168"/>
      <c r="AE602" s="168"/>
      <c r="AF602" s="168"/>
      <c r="AG602" s="168"/>
      <c r="AH602" s="168"/>
      <c r="AI602" s="168"/>
      <c r="AJ602" s="168"/>
      <c r="AK602" s="168"/>
      <c r="AL602" s="168"/>
      <c r="AM602" s="168"/>
      <c r="AN602" s="168"/>
      <c r="AO602" s="168"/>
      <c r="AP602" s="168"/>
      <c r="AQ602" s="168"/>
      <c r="AR602" s="168"/>
      <c r="AS602" s="168"/>
      <c r="AT602" s="168"/>
      <c r="AU602" s="168"/>
      <c r="AV602" s="168"/>
      <c r="AW602" s="168"/>
      <c r="AX602" s="168"/>
      <c r="AY602" s="168"/>
      <c r="AZ602" s="168"/>
    </row>
    <row r="603">
      <c r="A603" s="168"/>
      <c r="B603" s="126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  <c r="AB603" s="168"/>
      <c r="AC603" s="168"/>
      <c r="AD603" s="168"/>
      <c r="AE603" s="168"/>
      <c r="AF603" s="168"/>
      <c r="AG603" s="168"/>
      <c r="AH603" s="168"/>
      <c r="AI603" s="168"/>
      <c r="AJ603" s="168"/>
      <c r="AK603" s="168"/>
      <c r="AL603" s="168"/>
      <c r="AM603" s="168"/>
      <c r="AN603" s="168"/>
      <c r="AO603" s="168"/>
      <c r="AP603" s="168"/>
      <c r="AQ603" s="168"/>
      <c r="AR603" s="168"/>
      <c r="AS603" s="168"/>
      <c r="AT603" s="168"/>
      <c r="AU603" s="168"/>
      <c r="AV603" s="168"/>
      <c r="AW603" s="168"/>
      <c r="AX603" s="168"/>
      <c r="AY603" s="168"/>
      <c r="AZ603" s="168"/>
    </row>
    <row r="604">
      <c r="A604" s="168"/>
      <c r="B604" s="126" t="s">
        <v>340</v>
      </c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  <c r="AB604" s="168"/>
      <c r="AC604" s="168"/>
      <c r="AD604" s="168"/>
      <c r="AE604" s="168"/>
      <c r="AF604" s="168"/>
      <c r="AG604" s="168"/>
      <c r="AH604" s="168"/>
      <c r="AI604" s="168"/>
      <c r="AJ604" s="168"/>
      <c r="AK604" s="168"/>
      <c r="AL604" s="168"/>
      <c r="AM604" s="168"/>
      <c r="AN604" s="168"/>
      <c r="AO604" s="168"/>
      <c r="AP604" s="168"/>
      <c r="AQ604" s="168"/>
      <c r="AR604" s="168"/>
      <c r="AS604" s="168"/>
      <c r="AT604" s="168"/>
      <c r="AU604" s="168"/>
      <c r="AV604" s="168"/>
      <c r="AW604" s="168"/>
      <c r="AX604" s="168"/>
      <c r="AY604" s="168"/>
      <c r="AZ604" s="168"/>
    </row>
    <row r="605">
      <c r="A605" s="168"/>
      <c r="B605" s="168"/>
      <c r="C605" s="168"/>
      <c r="D605" s="85" t="s">
        <v>285</v>
      </c>
      <c r="E605" s="193">
        <v>46143.0</v>
      </c>
      <c r="F605" s="193">
        <v>46508.0</v>
      </c>
      <c r="G605" s="193">
        <v>46874.0</v>
      </c>
      <c r="H605" s="193">
        <v>47239.0</v>
      </c>
      <c r="I605" s="193">
        <v>47604.0</v>
      </c>
      <c r="J605" s="193">
        <v>47969.0</v>
      </c>
      <c r="K605" s="193">
        <v>48335.0</v>
      </c>
      <c r="L605" s="193">
        <v>48700.0</v>
      </c>
      <c r="M605" s="193">
        <v>49065.0</v>
      </c>
      <c r="N605" s="193">
        <v>49430.0</v>
      </c>
      <c r="O605" s="193">
        <v>49796.0</v>
      </c>
      <c r="P605" s="193">
        <v>50161.0</v>
      </c>
      <c r="Q605" s="193">
        <v>50526.0</v>
      </c>
      <c r="R605" s="193">
        <v>50891.0</v>
      </c>
      <c r="S605" s="193">
        <v>51257.0</v>
      </c>
      <c r="T605" s="193">
        <v>51622.0</v>
      </c>
      <c r="U605" s="193">
        <v>51987.0</v>
      </c>
      <c r="V605" s="193">
        <v>52352.0</v>
      </c>
      <c r="W605" s="193">
        <v>52718.0</v>
      </c>
      <c r="X605" s="193">
        <v>53083.0</v>
      </c>
      <c r="Y605" s="193">
        <v>53448.0</v>
      </c>
      <c r="Z605" s="193">
        <v>53813.0</v>
      </c>
      <c r="AA605" s="193">
        <v>54179.0</v>
      </c>
      <c r="AB605" s="193">
        <v>54544.0</v>
      </c>
      <c r="AC605" s="193">
        <v>54909.0</v>
      </c>
      <c r="AD605" s="193">
        <v>55274.0</v>
      </c>
      <c r="AE605" s="193">
        <v>55640.0</v>
      </c>
      <c r="AF605" s="193">
        <v>56005.0</v>
      </c>
      <c r="AG605" s="193">
        <v>56370.0</v>
      </c>
      <c r="AH605" s="193">
        <v>56735.0</v>
      </c>
      <c r="AI605" s="193">
        <v>57101.0</v>
      </c>
      <c r="AJ605" s="193">
        <v>57466.0</v>
      </c>
      <c r="AK605" s="193">
        <v>57831.0</v>
      </c>
      <c r="AL605" s="193">
        <v>58196.0</v>
      </c>
      <c r="AM605" s="193">
        <v>58562.0</v>
      </c>
      <c r="AN605" s="193">
        <v>58927.0</v>
      </c>
      <c r="AO605" s="193">
        <v>59292.0</v>
      </c>
      <c r="AP605" s="193">
        <v>59657.0</v>
      </c>
      <c r="AQ605" s="193">
        <v>60023.0</v>
      </c>
      <c r="AR605" s="193">
        <v>60388.0</v>
      </c>
      <c r="AS605" s="193">
        <v>60753.0</v>
      </c>
      <c r="AT605" s="193">
        <v>61118.0</v>
      </c>
      <c r="AU605" s="193">
        <v>61484.0</v>
      </c>
      <c r="AV605" s="193">
        <v>61849.0</v>
      </c>
      <c r="AW605" s="193">
        <v>62214.0</v>
      </c>
      <c r="AX605" s="193">
        <v>62579.0</v>
      </c>
      <c r="AY605" s="193">
        <v>62945.0</v>
      </c>
      <c r="AZ605" s="193">
        <v>63310.0</v>
      </c>
    </row>
    <row r="606">
      <c r="A606" s="168"/>
      <c r="B606" s="197" t="s">
        <v>428</v>
      </c>
      <c r="C606" s="168"/>
      <c r="D606" s="251">
        <f>D27</f>
        <v>0</v>
      </c>
      <c r="E606" s="196">
        <f>(D606*(1+(uk_lt_ir)))+12*$C596</f>
        <v>1553.605248</v>
      </c>
      <c r="F606" s="196">
        <f>(E606*(1+(uk_lt_ir)))+12*$C596</f>
        <v>3161.586681</v>
      </c>
      <c r="G606" s="196">
        <f>(F606*(1+(uk_lt_ir)))+12*$C596</f>
        <v>4825.847463</v>
      </c>
      <c r="H606" s="196">
        <f>(G606*(1+(uk_lt_ir)))+12*$C596</f>
        <v>6548.357373</v>
      </c>
      <c r="I606" s="196">
        <f>(H606*(1+(uk_lt_ir)))+12*$C596</f>
        <v>8331.155129</v>
      </c>
      <c r="J606" s="196">
        <f>(I606*(1+(uk_lt_ir)))+12*$C596</f>
        <v>10176.35081</v>
      </c>
      <c r="K606" s="196">
        <f>(J606*(1+(uk_lt_ir)))+12*$C596</f>
        <v>12086.12833</v>
      </c>
      <c r="L606" s="196">
        <f>(K606*(1+(uk_lt_ir)))+12*$C596</f>
        <v>14062.74807</v>
      </c>
      <c r="M606" s="196">
        <f>(L606*(1+(uk_lt_ir)))+12*$C596</f>
        <v>16108.5495</v>
      </c>
      <c r="N606" s="196">
        <f>(M606*(1+(uk_lt_ir)))+12*$C596</f>
        <v>18225.95399</v>
      </c>
      <c r="O606" s="196">
        <f>(N606*(1+(uk_lt_ir)))+12*$C596</f>
        <v>20417.46762</v>
      </c>
      <c r="P606" s="196">
        <f>(O606*(1+(uk_lt_ir)))+12*$C596</f>
        <v>22685.68424</v>
      </c>
      <c r="Q606" s="196">
        <f>(P606*(1+(uk_lt_ir)))+12*$C596</f>
        <v>25033.28844</v>
      </c>
      <c r="R606" s="196">
        <f>(Q606*(1+(uk_lt_ir)))+12*$C596</f>
        <v>27463.05878</v>
      </c>
      <c r="S606" s="196">
        <f>(R606*(1+(uk_lt_ir)))+12*$C596</f>
        <v>29977.87109</v>
      </c>
      <c r="T606" s="196">
        <f>(S606*(1+(uk_lt_ir)))+12*$C596</f>
        <v>32580.70182</v>
      </c>
      <c r="U606" s="196">
        <f>(T606*(1+(uk_lt_ir)))+12*$C596</f>
        <v>35274.63163</v>
      </c>
      <c r="V606" s="196">
        <f>(U606*(1+(uk_lt_ir)))+12*$C596</f>
        <v>38062.84899</v>
      </c>
      <c r="W606" s="196">
        <f>(V606*(1+(uk_lt_ir)))+12*$C596</f>
        <v>40948.65395</v>
      </c>
      <c r="X606" s="196">
        <f>(W606*(1+(uk_lt_ir)))+12*$C596</f>
        <v>43935.46209</v>
      </c>
      <c r="Y606" s="196">
        <f>(X606*(1+(uk_lt_ir)))+12*$C596</f>
        <v>47026.80851</v>
      </c>
      <c r="Z606" s="196">
        <f>(Y606*(1+(uk_lt_ir)))+12*$C596</f>
        <v>50226.35206</v>
      </c>
      <c r="AA606" s="196">
        <f>(Z606*(1+(uk_lt_ir)))+12*$C596</f>
        <v>53537.87963</v>
      </c>
      <c r="AB606" s="196">
        <f>(AA606*(1+(uk_lt_ir)))+12*$C596</f>
        <v>56965.31066</v>
      </c>
      <c r="AC606" s="196">
        <f>(AB606*(1+(uk_lt_ir)))+12*$C596</f>
        <v>60512.70179</v>
      </c>
      <c r="AD606" s="196">
        <f>(AC606*(1+(uk_lt_ir)))+12*$C596</f>
        <v>64184.2516</v>
      </c>
      <c r="AE606" s="196">
        <f>(AD606*(1+(uk_lt_ir)))+12*$C596</f>
        <v>67984.30565</v>
      </c>
      <c r="AF606" s="196">
        <f>(AE606*(1+(uk_lt_ir)))+12*$C596</f>
        <v>71917.3616</v>
      </c>
      <c r="AG606" s="196">
        <f>(AF606*(1+(uk_lt_ir)))+12*$C596</f>
        <v>75988.0745</v>
      </c>
      <c r="AH606" s="196">
        <f>(AG606*(1+(uk_lt_ir)))+12*$C596</f>
        <v>80201.26236</v>
      </c>
      <c r="AI606" s="196">
        <f>(AH606*(1+(uk_lt_ir)))+12*$C596</f>
        <v>84561.91179</v>
      </c>
      <c r="AJ606" s="196">
        <f>(AI606*(1+(uk_lt_ir)))+12*$C596</f>
        <v>89075.18395</v>
      </c>
      <c r="AK606" s="196">
        <f>(AJ606*(1+(uk_lt_ir)))+12*$C596</f>
        <v>93746.42064</v>
      </c>
      <c r="AL606" s="196">
        <f>(AK606*(1+(uk_lt_ir)))+12*$C596</f>
        <v>98581.15061</v>
      </c>
      <c r="AM606" s="196">
        <f>(AL606*(1+(uk_lt_ir)))+12*$C596</f>
        <v>103585.0961</v>
      </c>
      <c r="AN606" s="196">
        <f>(AM606*(1+(uk_lt_ir)))+12*$C596</f>
        <v>108764.1797</v>
      </c>
      <c r="AO606" s="196">
        <f>(AN606*(1+(uk_lt_ir)))+12*$C596</f>
        <v>114124.5313</v>
      </c>
      <c r="AP606" s="196">
        <f>(AO606*(1+(uk_lt_ir)))+12*$C596</f>
        <v>119672.4951</v>
      </c>
      <c r="AQ606" s="196">
        <f>(AP606*(1+(uk_lt_ir)))+12*$C596</f>
        <v>125414.6377</v>
      </c>
      <c r="AR606" s="196">
        <f>(AQ606*(1+(uk_lt_ir)))+12*$C596</f>
        <v>131357.7553</v>
      </c>
      <c r="AS606" s="196">
        <f>(AR606*(1+(uk_lt_ir)))+12*$C596</f>
        <v>137508.8819</v>
      </c>
      <c r="AT606" s="196">
        <f>(AS606*(1+(uk_lt_ir)))+12*$C596</f>
        <v>143875.2981</v>
      </c>
      <c r="AU606" s="196">
        <f>(AT606*(1+(uk_lt_ir)))+12*$C596</f>
        <v>150464.5387</v>
      </c>
      <c r="AV606" s="196">
        <f>(AU606*(1+(uk_lt_ir)))+12*$C596</f>
        <v>157284.4029</v>
      </c>
      <c r="AW606" s="196">
        <f>(AV606*(1+(uk_lt_ir)))+12*$C596</f>
        <v>164342.9622</v>
      </c>
      <c r="AX606" s="196">
        <f>(AW606*(1+(uk_lt_ir)))+12*$C596</f>
        <v>171648.5711</v>
      </c>
      <c r="AY606" s="196">
        <f>(AX606*(1+(uk_lt_ir)))+12*$C596</f>
        <v>179209.8764</v>
      </c>
      <c r="AZ606" s="196">
        <f>(AY606*(1+(uk_lt_ir)))+12*$C596</f>
        <v>187035.8273</v>
      </c>
    </row>
    <row r="607">
      <c r="A607" s="168"/>
      <c r="B607" s="242" t="s">
        <v>524</v>
      </c>
      <c r="C607" s="168"/>
      <c r="D607" s="199">
        <f>D606-D279</f>
        <v>0</v>
      </c>
      <c r="E607" s="199">
        <f t="shared" ref="E607:AZ607" si="79">E606-(12*$C596*(Value(Right(E605,4))-Value(Right($D605,4))))</f>
        <v>0</v>
      </c>
      <c r="F607" s="199">
        <f t="shared" si="79"/>
        <v>54.3761837</v>
      </c>
      <c r="G607" s="199">
        <f t="shared" si="79"/>
        <v>165.0317175</v>
      </c>
      <c r="H607" s="199">
        <f t="shared" si="79"/>
        <v>333.9363787</v>
      </c>
      <c r="I607" s="199">
        <f t="shared" si="79"/>
        <v>563.1288868</v>
      </c>
      <c r="J607" s="199">
        <f t="shared" si="79"/>
        <v>854.7193163</v>
      </c>
      <c r="K607" s="199">
        <f t="shared" si="79"/>
        <v>1210.891595</v>
      </c>
      <c r="L607" s="199">
        <f t="shared" si="79"/>
        <v>1633.906086</v>
      </c>
      <c r="M607" s="199">
        <f t="shared" si="79"/>
        <v>2126.102269</v>
      </c>
      <c r="N607" s="199">
        <f t="shared" si="79"/>
        <v>2689.901501</v>
      </c>
      <c r="O607" s="199">
        <f t="shared" si="79"/>
        <v>3327.809891</v>
      </c>
      <c r="P607" s="199">
        <f t="shared" si="79"/>
        <v>4042.421258</v>
      </c>
      <c r="Q607" s="199">
        <f t="shared" si="79"/>
        <v>4836.420206</v>
      </c>
      <c r="R607" s="199">
        <f t="shared" si="79"/>
        <v>5712.585301</v>
      </c>
      <c r="S607" s="199">
        <f t="shared" si="79"/>
        <v>6673.792359</v>
      </c>
      <c r="T607" s="199">
        <f t="shared" si="79"/>
        <v>7723.017847</v>
      </c>
      <c r="U607" s="199">
        <f t="shared" si="79"/>
        <v>8863.34241</v>
      </c>
      <c r="V607" s="199">
        <f t="shared" si="79"/>
        <v>10097.95452</v>
      </c>
      <c r="W607" s="199">
        <f t="shared" si="79"/>
        <v>11430.15423</v>
      </c>
      <c r="X607" s="199">
        <f t="shared" si="79"/>
        <v>12863.35712</v>
      </c>
      <c r="Y607" s="199">
        <f t="shared" si="79"/>
        <v>14401.09829</v>
      </c>
      <c r="Z607" s="199">
        <f t="shared" si="79"/>
        <v>16047.03659</v>
      </c>
      <c r="AA607" s="199">
        <f t="shared" si="79"/>
        <v>17804.95891</v>
      </c>
      <c r="AB607" s="199">
        <f t="shared" si="79"/>
        <v>19678.7847</v>
      </c>
      <c r="AC607" s="199">
        <f t="shared" si="79"/>
        <v>21672.57057</v>
      </c>
      <c r="AD607" s="199">
        <f t="shared" si="79"/>
        <v>23790.51514</v>
      </c>
      <c r="AE607" s="199">
        <f t="shared" si="79"/>
        <v>26036.96394</v>
      </c>
      <c r="AF607" s="199">
        <f t="shared" si="79"/>
        <v>28416.41464</v>
      </c>
      <c r="AG607" s="199">
        <f t="shared" si="79"/>
        <v>30933.5223</v>
      </c>
      <c r="AH607" s="199">
        <f t="shared" si="79"/>
        <v>33593.1049</v>
      </c>
      <c r="AI607" s="199">
        <f t="shared" si="79"/>
        <v>36400.14909</v>
      </c>
      <c r="AJ607" s="199">
        <f t="shared" si="79"/>
        <v>39359.816</v>
      </c>
      <c r="AK607" s="199">
        <f t="shared" si="79"/>
        <v>42477.44744</v>
      </c>
      <c r="AL607" s="199">
        <f t="shared" si="79"/>
        <v>45758.57216</v>
      </c>
      <c r="AM607" s="199">
        <f t="shared" si="79"/>
        <v>49208.91243</v>
      </c>
      <c r="AN607" s="199">
        <f t="shared" si="79"/>
        <v>52834.39079</v>
      </c>
      <c r="AO607" s="199">
        <f t="shared" si="79"/>
        <v>56641.13709</v>
      </c>
      <c r="AP607" s="199">
        <f t="shared" si="79"/>
        <v>60635.49568</v>
      </c>
      <c r="AQ607" s="199">
        <f t="shared" si="79"/>
        <v>64824.03301</v>
      </c>
      <c r="AR607" s="199">
        <f t="shared" si="79"/>
        <v>69213.54533</v>
      </c>
      <c r="AS607" s="199">
        <f t="shared" si="79"/>
        <v>73811.06676</v>
      </c>
      <c r="AT607" s="199">
        <f t="shared" si="79"/>
        <v>78623.87763</v>
      </c>
      <c r="AU607" s="199">
        <f t="shared" si="79"/>
        <v>83659.51306</v>
      </c>
      <c r="AV607" s="199">
        <f t="shared" si="79"/>
        <v>88925.77192</v>
      </c>
      <c r="AW607" s="199">
        <f t="shared" si="79"/>
        <v>94430.72602</v>
      </c>
      <c r="AX607" s="199">
        <f t="shared" si="79"/>
        <v>100182.7297</v>
      </c>
      <c r="AY607" s="199">
        <f t="shared" si="79"/>
        <v>106190.4297</v>
      </c>
      <c r="AZ607" s="199">
        <f t="shared" si="79"/>
        <v>112462.7754</v>
      </c>
    </row>
    <row r="608">
      <c r="A608" s="168"/>
      <c r="B608" s="168"/>
      <c r="C608" s="168"/>
      <c r="D608" s="209"/>
      <c r="E608" s="209"/>
      <c r="F608" s="209"/>
      <c r="G608" s="209"/>
      <c r="H608" s="209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  <c r="AC608" s="266"/>
      <c r="AD608" s="266"/>
      <c r="AE608" s="266"/>
      <c r="AF608" s="266"/>
      <c r="AG608" s="266"/>
      <c r="AH608" s="266"/>
      <c r="AI608" s="266"/>
      <c r="AJ608" s="266"/>
      <c r="AK608" s="266"/>
      <c r="AL608" s="266"/>
      <c r="AM608" s="266"/>
      <c r="AN608" s="266"/>
      <c r="AO608" s="266"/>
      <c r="AP608" s="266"/>
      <c r="AQ608" s="266"/>
      <c r="AR608" s="266"/>
      <c r="AS608" s="266"/>
      <c r="AT608" s="266"/>
      <c r="AU608" s="266"/>
      <c r="AV608" s="266"/>
      <c r="AW608" s="266"/>
      <c r="AX608" s="266"/>
      <c r="AY608" s="266"/>
      <c r="AZ608" s="266"/>
    </row>
    <row r="609">
      <c r="A609" s="168"/>
      <c r="B609" s="139" t="s">
        <v>309</v>
      </c>
      <c r="C609" s="168"/>
      <c r="D609" s="267" t="s">
        <v>344</v>
      </c>
      <c r="E609" s="21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  <c r="AB609" s="168"/>
      <c r="AC609" s="168"/>
      <c r="AD609" s="168"/>
      <c r="AE609" s="168"/>
      <c r="AF609" s="168"/>
      <c r="AG609" s="168"/>
      <c r="AH609" s="168"/>
      <c r="AI609" s="168"/>
      <c r="AJ609" s="168"/>
      <c r="AK609" s="168"/>
      <c r="AL609" s="168"/>
      <c r="AM609" s="168"/>
      <c r="AN609" s="168"/>
      <c r="AO609" s="168"/>
      <c r="AP609" s="168"/>
      <c r="AQ609" s="168"/>
      <c r="AR609" s="168"/>
      <c r="AS609" s="168"/>
      <c r="AT609" s="168"/>
      <c r="AU609" s="168"/>
      <c r="AV609" s="168"/>
      <c r="AW609" s="168"/>
      <c r="AX609" s="168"/>
      <c r="AY609" s="168"/>
      <c r="AZ609" s="168"/>
    </row>
    <row r="610">
      <c r="A610" s="168"/>
      <c r="B610" s="168"/>
      <c r="C610" s="168"/>
      <c r="D610" s="268" t="s">
        <v>345</v>
      </c>
      <c r="E610" s="269" t="s">
        <v>251</v>
      </c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  <c r="AB610" s="168"/>
      <c r="AC610" s="168"/>
      <c r="AD610" s="168"/>
      <c r="AE610" s="168"/>
      <c r="AF610" s="168"/>
      <c r="AG610" s="168"/>
      <c r="AH610" s="168"/>
      <c r="AI610" s="168"/>
      <c r="AJ610" s="168"/>
      <c r="AK610" s="168"/>
      <c r="AL610" s="168"/>
      <c r="AM610" s="168"/>
      <c r="AN610" s="168"/>
      <c r="AO610" s="168"/>
      <c r="AP610" s="168"/>
      <c r="AQ610" s="168"/>
      <c r="AR610" s="168"/>
      <c r="AS610" s="168"/>
      <c r="AT610" s="168"/>
      <c r="AU610" s="168"/>
      <c r="AV610" s="168"/>
      <c r="AW610" s="168"/>
      <c r="AX610" s="168"/>
      <c r="AY610" s="168"/>
      <c r="AZ610" s="168"/>
    </row>
    <row r="611">
      <c r="A611" s="168"/>
      <c r="B611" s="175" t="str">
        <f>"1 year ("&amp;(Year(today())+1)&amp;")"</f>
        <v>1 year (2026)</v>
      </c>
      <c r="C611" s="168"/>
      <c r="D611" s="219">
        <f>E607</f>
        <v>0</v>
      </c>
      <c r="E611" s="217" t="str">
        <f t="shared" ref="E611:E614" si="80">D611/$H$65</f>
        <v>#DIV/0!</v>
      </c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  <c r="AB611" s="168"/>
      <c r="AC611" s="168"/>
      <c r="AD611" s="168"/>
      <c r="AE611" s="168"/>
      <c r="AF611" s="168"/>
      <c r="AG611" s="168"/>
      <c r="AH611" s="168"/>
      <c r="AI611" s="168"/>
      <c r="AJ611" s="168"/>
      <c r="AK611" s="168"/>
      <c r="AL611" s="168"/>
      <c r="AM611" s="168"/>
      <c r="AN611" s="168"/>
      <c r="AO611" s="168"/>
      <c r="AP611" s="168"/>
      <c r="AQ611" s="168"/>
      <c r="AR611" s="168"/>
      <c r="AS611" s="168"/>
      <c r="AT611" s="168"/>
      <c r="AU611" s="168"/>
      <c r="AV611" s="168"/>
      <c r="AW611" s="168"/>
      <c r="AX611" s="168"/>
      <c r="AY611" s="168"/>
      <c r="AZ611" s="168"/>
    </row>
    <row r="612">
      <c r="A612" s="168"/>
      <c r="B612" s="175" t="str">
        <f>"5 years ("&amp;(Year(today())+5)&amp;")"</f>
        <v>5 years (2030)</v>
      </c>
      <c r="C612" s="168"/>
      <c r="D612" s="219">
        <f>I607</f>
        <v>563.1288868</v>
      </c>
      <c r="E612" s="217" t="str">
        <f t="shared" si="80"/>
        <v>#DIV/0!</v>
      </c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  <c r="AB612" s="168"/>
      <c r="AC612" s="168"/>
      <c r="AD612" s="168"/>
      <c r="AE612" s="168"/>
      <c r="AF612" s="168"/>
      <c r="AG612" s="168"/>
      <c r="AH612" s="168"/>
      <c r="AI612" s="168"/>
      <c r="AJ612" s="168"/>
      <c r="AK612" s="168"/>
      <c r="AL612" s="168"/>
      <c r="AM612" s="168"/>
      <c r="AN612" s="168"/>
      <c r="AO612" s="168"/>
      <c r="AP612" s="168"/>
      <c r="AQ612" s="168"/>
      <c r="AR612" s="168"/>
      <c r="AS612" s="168"/>
      <c r="AT612" s="168"/>
      <c r="AU612" s="168"/>
      <c r="AV612" s="168"/>
      <c r="AW612" s="168"/>
      <c r="AX612" s="168"/>
      <c r="AY612" s="168"/>
      <c r="AZ612" s="168"/>
    </row>
    <row r="613">
      <c r="A613" s="168"/>
      <c r="B613" s="175" t="str">
        <f>"10 years ("&amp;(Year(today())+10)&amp;")"</f>
        <v>10 years (2035)</v>
      </c>
      <c r="C613" s="168"/>
      <c r="D613" s="219">
        <f>N607</f>
        <v>2689.901501</v>
      </c>
      <c r="E613" s="217" t="str">
        <f t="shared" si="80"/>
        <v>#DIV/0!</v>
      </c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  <c r="AB613" s="168"/>
      <c r="AC613" s="168"/>
      <c r="AD613" s="168"/>
      <c r="AE613" s="168"/>
      <c r="AF613" s="168"/>
      <c r="AG613" s="168"/>
      <c r="AH613" s="168"/>
      <c r="AI613" s="168"/>
      <c r="AJ613" s="168"/>
      <c r="AK613" s="168"/>
      <c r="AL613" s="168"/>
      <c r="AM613" s="168"/>
      <c r="AN613" s="168"/>
      <c r="AO613" s="168"/>
      <c r="AP613" s="168"/>
      <c r="AQ613" s="168"/>
      <c r="AR613" s="168"/>
      <c r="AS613" s="168"/>
      <c r="AT613" s="168"/>
      <c r="AU613" s="168"/>
      <c r="AV613" s="168"/>
      <c r="AW613" s="168"/>
      <c r="AX613" s="168"/>
      <c r="AY613" s="168"/>
      <c r="AZ613" s="168"/>
    </row>
    <row r="614">
      <c r="A614" s="168"/>
      <c r="B614" s="175" t="str">
        <f>"20 years ("&amp;(Year(today())+20)&amp;")"</f>
        <v>20 years (2045)</v>
      </c>
      <c r="C614" s="168"/>
      <c r="D614" s="219">
        <f>X607</f>
        <v>12863.35712</v>
      </c>
      <c r="E614" s="217" t="str">
        <f t="shared" si="80"/>
        <v>#DIV/0!</v>
      </c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  <c r="AB614" s="168"/>
      <c r="AC614" s="168"/>
      <c r="AD614" s="168"/>
      <c r="AE614" s="168"/>
      <c r="AF614" s="168"/>
      <c r="AG614" s="168"/>
      <c r="AH614" s="168"/>
      <c r="AI614" s="168"/>
      <c r="AJ614" s="168"/>
      <c r="AK614" s="168"/>
      <c r="AL614" s="168"/>
      <c r="AM614" s="168"/>
      <c r="AN614" s="168"/>
      <c r="AO614" s="168"/>
      <c r="AP614" s="168"/>
      <c r="AQ614" s="168"/>
      <c r="AR614" s="168"/>
      <c r="AS614" s="168"/>
      <c r="AT614" s="168"/>
      <c r="AU614" s="168"/>
      <c r="AV614" s="168"/>
      <c r="AW614" s="168"/>
      <c r="AX614" s="168"/>
      <c r="AY614" s="168"/>
      <c r="AZ614" s="168"/>
    </row>
    <row r="616">
      <c r="A616" s="167" t="s">
        <v>525</v>
      </c>
      <c r="B616" s="252" t="s">
        <v>526</v>
      </c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  <c r="AB616" s="168"/>
      <c r="AC616" s="168"/>
      <c r="AD616" s="168"/>
      <c r="AE616" s="168"/>
      <c r="AF616" s="168"/>
      <c r="AG616" s="168"/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168"/>
      <c r="AT616" s="168"/>
      <c r="AU616" s="168"/>
      <c r="AV616" s="168"/>
      <c r="AW616" s="168"/>
      <c r="AX616" s="168"/>
      <c r="AY616" s="168"/>
      <c r="AZ616" s="168"/>
    </row>
    <row r="617">
      <c r="A617" s="168"/>
      <c r="B617" s="293" t="s">
        <v>527</v>
      </c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  <c r="AB617" s="168"/>
      <c r="AC617" s="168"/>
      <c r="AD617" s="168"/>
      <c r="AE617" s="168"/>
      <c r="AF617" s="168"/>
      <c r="AG617" s="168"/>
      <c r="AH617" s="168"/>
      <c r="AI617" s="168"/>
      <c r="AJ617" s="168"/>
      <c r="AK617" s="168"/>
      <c r="AL617" s="168"/>
      <c r="AM617" s="168"/>
      <c r="AN617" s="168"/>
      <c r="AO617" s="168"/>
      <c r="AP617" s="168"/>
      <c r="AQ617" s="168"/>
      <c r="AR617" s="168"/>
      <c r="AS617" s="168"/>
      <c r="AT617" s="168"/>
      <c r="AU617" s="168"/>
      <c r="AV617" s="168"/>
      <c r="AW617" s="168"/>
      <c r="AX617" s="168"/>
      <c r="AY617" s="168"/>
      <c r="AZ617" s="168"/>
    </row>
    <row r="6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  <c r="AB618" s="168"/>
      <c r="AC618" s="168"/>
      <c r="AD618" s="168"/>
      <c r="AE618" s="168"/>
      <c r="AF618" s="168"/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168"/>
      <c r="AT618" s="168"/>
      <c r="AU618" s="168"/>
      <c r="AV618" s="168"/>
      <c r="AW618" s="168"/>
      <c r="AX618" s="168"/>
      <c r="AY618" s="168"/>
      <c r="AZ618" s="168"/>
    </row>
    <row r="619">
      <c r="A619" s="167" t="s">
        <v>528</v>
      </c>
      <c r="B619" s="252" t="s">
        <v>529</v>
      </c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  <c r="AB619" s="168"/>
      <c r="AC619" s="168"/>
      <c r="AD619" s="168"/>
      <c r="AE619" s="168"/>
      <c r="AF619" s="168"/>
      <c r="AG619" s="168"/>
      <c r="AH619" s="168"/>
      <c r="AI619" s="168"/>
      <c r="AJ619" s="168"/>
      <c r="AK619" s="168"/>
      <c r="AL619" s="168"/>
      <c r="AM619" s="168"/>
      <c r="AN619" s="168"/>
      <c r="AO619" s="168"/>
      <c r="AP619" s="168"/>
      <c r="AQ619" s="168"/>
      <c r="AR619" s="168"/>
      <c r="AS619" s="168"/>
      <c r="AT619" s="168"/>
      <c r="AU619" s="168"/>
      <c r="AV619" s="168"/>
      <c r="AW619" s="168"/>
      <c r="AX619" s="168"/>
      <c r="AY619" s="168"/>
      <c r="AZ619" s="168"/>
    </row>
    <row r="621">
      <c r="B621" s="293" t="s">
        <v>530</v>
      </c>
    </row>
  </sheetData>
  <mergeCells count="12">
    <mergeCell ref="D451:E451"/>
    <mergeCell ref="D496:E496"/>
    <mergeCell ref="D542:E542"/>
    <mergeCell ref="D576:E576"/>
    <mergeCell ref="D609:E609"/>
    <mergeCell ref="D110:E110"/>
    <mergeCell ref="D234:E234"/>
    <mergeCell ref="D270:E270"/>
    <mergeCell ref="D300:E300"/>
    <mergeCell ref="D334:E334"/>
    <mergeCell ref="D361:E361"/>
    <mergeCell ref="D409:E409"/>
  </mergeCells>
  <conditionalFormatting sqref="D10:AZ16">
    <cfRule type="cellIs" dxfId="2" priority="1" operator="lessThan">
      <formula>0</formula>
    </cfRule>
  </conditionalFormatting>
  <conditionalFormatting sqref="D46:AZ46">
    <cfRule type="cellIs" dxfId="3" priority="2" operator="lessThan">
      <formula>0</formula>
    </cfRule>
  </conditionalFormatting>
  <conditionalFormatting sqref="D58:AZ58 D58:AZ58">
    <cfRule type="cellIs" dxfId="4" priority="3" operator="lessThan">
      <formula>0</formula>
    </cfRule>
  </conditionalFormatting>
  <conditionalFormatting sqref="C63:F65 C157:F158 C197:G198 D236:E239 D272:E275 D302:E305 D336:E339 D363:E366 D411:E414 D453:E456 D498:E501 D544:E547 D578:E581 D611:E614">
    <cfRule type="cellIs" dxfId="4" priority="4" operator="lessThan">
      <formula>0</formula>
    </cfRule>
  </conditionalFormatting>
  <conditionalFormatting sqref="D148:AZ149 D153:AZ153">
    <cfRule type="cellIs" dxfId="4" priority="5" operator="lessThan">
      <formula>0</formula>
    </cfRule>
  </conditionalFormatting>
  <conditionalFormatting sqref="C158:F158 C198:F198">
    <cfRule type="colorScale" priority="6">
      <colorScale>
        <cfvo type="min"/>
        <cfvo type="max"/>
        <color rgb="FFFFFFFF"/>
        <color rgb="FF57BB8A"/>
      </colorScale>
    </cfRule>
  </conditionalFormatting>
  <conditionalFormatting sqref="D190:AZ191 D229:AZ230 D261:AZ261 D267:AZ267 D291:AZ291 D296:AZ296 D325:AZ325 D330:AZ330 D359:AZ359 D404:AZ405 D438:AZ438 D446:AZ446 D482:AZ482 D491:AZ491 D526:AZ526 D537:AZ537 D560:AZ560 D571:AZ571 D601:AZ601 D607:AZ607">
    <cfRule type="cellIs" dxfId="4" priority="7" operator="lessThan">
      <formula>0</formula>
    </cfRule>
  </conditionalFormatting>
  <conditionalFormatting sqref="D56:AZ56">
    <cfRule type="cellIs" dxfId="2" priority="8" operator="lessThan">
      <formula>0</formula>
    </cfRule>
  </conditionalFormatting>
  <hyperlinks>
    <hyperlink r:id="rId2" ref="G86"/>
    <hyperlink r:id="rId3" ref="G94"/>
    <hyperlink r:id="rId4" ref="H245"/>
    <hyperlink r:id="rId5" ref="D386"/>
    <hyperlink r:id="rId6" ref="D387"/>
    <hyperlink r:id="rId7" ref="D393"/>
  </hyperlinks>
  <drawing r:id="rId8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.88"/>
    <col customWidth="1" min="2" max="2" width="42.13"/>
    <col customWidth="1" min="36" max="36" width="13.63"/>
  </cols>
  <sheetData>
    <row r="1">
      <c r="A1" s="9"/>
      <c r="B1" s="294" t="s">
        <v>531</v>
      </c>
    </row>
    <row r="2">
      <c r="B2" s="30"/>
    </row>
    <row r="3">
      <c r="B3" s="30"/>
      <c r="C3" s="295">
        <f>Model!E9</f>
        <v>46143</v>
      </c>
      <c r="D3" s="295">
        <f>Model!F9</f>
        <v>46508</v>
      </c>
      <c r="E3" s="295">
        <f>Model!G9</f>
        <v>46874</v>
      </c>
      <c r="F3" s="295">
        <f>Model!H9</f>
        <v>47239</v>
      </c>
      <c r="G3" s="295">
        <f>Model!I9</f>
        <v>47604</v>
      </c>
      <c r="H3" s="295">
        <f>Model!J9</f>
        <v>47969</v>
      </c>
      <c r="I3" s="295">
        <f>Model!K9</f>
        <v>48335</v>
      </c>
      <c r="J3" s="295">
        <f>Model!L9</f>
        <v>48700</v>
      </c>
      <c r="K3" s="295">
        <f>Model!M9</f>
        <v>49065</v>
      </c>
      <c r="L3" s="295">
        <f>Model!N9</f>
        <v>49430</v>
      </c>
      <c r="M3" s="295">
        <f>Model!O9</f>
        <v>49796</v>
      </c>
      <c r="N3" s="295">
        <f>Model!P9</f>
        <v>50161</v>
      </c>
      <c r="O3" s="295">
        <f>Model!Q9</f>
        <v>50526</v>
      </c>
      <c r="P3" s="295">
        <f>Model!R9</f>
        <v>50891</v>
      </c>
      <c r="Q3" s="295">
        <f>Model!S9</f>
        <v>51257</v>
      </c>
      <c r="R3" s="295">
        <f>Model!T9</f>
        <v>51622</v>
      </c>
      <c r="S3" s="295">
        <f>Model!U9</f>
        <v>51987</v>
      </c>
      <c r="T3" s="295">
        <f>Model!V9</f>
        <v>52352</v>
      </c>
      <c r="U3" s="295">
        <f>Model!W9</f>
        <v>52718</v>
      </c>
      <c r="V3" s="295">
        <f>Model!X9</f>
        <v>53083</v>
      </c>
      <c r="W3" s="295">
        <f>Model!Y9</f>
        <v>53448</v>
      </c>
      <c r="X3" s="295">
        <f>Model!Z9</f>
        <v>53813</v>
      </c>
      <c r="Y3" s="295">
        <f>Model!AA9</f>
        <v>54179</v>
      </c>
      <c r="Z3" s="295">
        <f>Model!AB9</f>
        <v>54544</v>
      </c>
      <c r="AA3" s="295">
        <f>Model!AC9</f>
        <v>54909</v>
      </c>
      <c r="AB3" s="295">
        <f>Model!AD9</f>
        <v>55274</v>
      </c>
      <c r="AC3" s="295">
        <f>Model!AE9</f>
        <v>55640</v>
      </c>
      <c r="AD3" s="295">
        <f>Model!AF9</f>
        <v>56005</v>
      </c>
      <c r="AE3" s="295">
        <f>Model!AG9</f>
        <v>56370</v>
      </c>
      <c r="AF3" s="295">
        <f>Model!AH9</f>
        <v>56735</v>
      </c>
      <c r="AG3" s="295">
        <f>Model!AI9</f>
        <v>57101</v>
      </c>
      <c r="AH3" s="295">
        <f>Model!AJ9</f>
        <v>57466</v>
      </c>
      <c r="AI3" s="295">
        <f>Model!AK9</f>
        <v>57831</v>
      </c>
      <c r="AJ3" s="295">
        <f>Model!AL9</f>
        <v>58196</v>
      </c>
      <c r="AK3" s="295">
        <f>Model!AM9</f>
        <v>58562</v>
      </c>
      <c r="AL3" s="295">
        <f>Model!AN9</f>
        <v>58927</v>
      </c>
      <c r="AM3" s="295">
        <f>Model!AO9</f>
        <v>59292</v>
      </c>
      <c r="AN3" s="295">
        <f>Model!AP9</f>
        <v>59657</v>
      </c>
      <c r="AO3" s="295">
        <f>Model!AQ9</f>
        <v>60023</v>
      </c>
      <c r="AP3" s="295">
        <f>Model!AR9</f>
        <v>60388</v>
      </c>
      <c r="AQ3" s="295">
        <f>Model!AS9</f>
        <v>60753</v>
      </c>
      <c r="AR3" s="295">
        <f>Model!AT9</f>
        <v>61118</v>
      </c>
      <c r="AS3" s="295">
        <f>Model!AU9</f>
        <v>61484</v>
      </c>
      <c r="AT3" s="295">
        <f>Model!AV9</f>
        <v>61849</v>
      </c>
      <c r="AU3" s="295">
        <f>Model!AW9</f>
        <v>62214</v>
      </c>
      <c r="AV3" s="295">
        <f>Model!AX9</f>
        <v>62579</v>
      </c>
      <c r="AW3" s="295">
        <f>Model!AY9</f>
        <v>62945</v>
      </c>
      <c r="AX3" s="295">
        <f>Model!AZ9</f>
        <v>63310</v>
      </c>
    </row>
    <row r="4">
      <c r="A4" s="296"/>
      <c r="B4" s="297" t="s">
        <v>532</v>
      </c>
      <c r="C4" s="298">
        <f>Model!E14</f>
        <v>50845.56</v>
      </c>
      <c r="D4" s="298">
        <f>Model!F14</f>
        <v>50845.56</v>
      </c>
      <c r="E4" s="298">
        <f>Model!G14</f>
        <v>50845.56</v>
      </c>
      <c r="F4" s="298">
        <f>Model!H14</f>
        <v>50845.56</v>
      </c>
      <c r="G4" s="298">
        <f>Model!I14</f>
        <v>50845.56</v>
      </c>
      <c r="H4" s="298">
        <f>Model!J14</f>
        <v>50845.56</v>
      </c>
      <c r="I4" s="298">
        <f>Model!K14</f>
        <v>50845.56</v>
      </c>
      <c r="J4" s="298">
        <f>Model!L14</f>
        <v>50845.56</v>
      </c>
      <c r="K4" s="298">
        <f>Model!M14</f>
        <v>50845.56</v>
      </c>
      <c r="L4" s="298">
        <f>Model!N14</f>
        <v>50845.56</v>
      </c>
      <c r="M4" s="298">
        <f>Model!O14</f>
        <v>50845.56</v>
      </c>
      <c r="N4" s="298">
        <f>Model!P14</f>
        <v>50845.56</v>
      </c>
      <c r="O4" s="298">
        <f>Model!Q14</f>
        <v>50845.56</v>
      </c>
      <c r="P4" s="298">
        <f>Model!R14</f>
        <v>50845.56</v>
      </c>
      <c r="Q4" s="298">
        <f>Model!S14</f>
        <v>50845.56</v>
      </c>
      <c r="R4" s="298">
        <f>Model!T14</f>
        <v>50845.56</v>
      </c>
      <c r="S4" s="298">
        <f>Model!U14</f>
        <v>50845.56</v>
      </c>
      <c r="T4" s="298">
        <f>Model!V14</f>
        <v>50845.56</v>
      </c>
      <c r="U4" s="298">
        <f>Model!W14</f>
        <v>50845.56</v>
      </c>
      <c r="V4" s="298">
        <f>Model!X14</f>
        <v>50845.56</v>
      </c>
      <c r="W4" s="298">
        <f>Model!Y14</f>
        <v>50845.56</v>
      </c>
      <c r="X4" s="298">
        <f>Model!Z14</f>
        <v>50845.56</v>
      </c>
      <c r="Y4" s="298">
        <f>Model!AA14</f>
        <v>50845.56</v>
      </c>
      <c r="Z4" s="298">
        <f>Model!AB14</f>
        <v>50845.56</v>
      </c>
      <c r="AA4" s="298">
        <f>Model!AC14</f>
        <v>50845.56</v>
      </c>
      <c r="AB4" s="298">
        <f>Model!AD14</f>
        <v>50845.56</v>
      </c>
      <c r="AC4" s="298">
        <f>Model!AE14</f>
        <v>50845.56</v>
      </c>
      <c r="AD4" s="298">
        <f>Model!AF14</f>
        <v>50845.56</v>
      </c>
      <c r="AE4" s="298">
        <f>Model!AG14</f>
        <v>50845.56</v>
      </c>
      <c r="AF4" s="298">
        <f>Model!AH14</f>
        <v>50845.56</v>
      </c>
      <c r="AG4" s="298">
        <f>Model!AI14</f>
        <v>50845.56</v>
      </c>
      <c r="AH4" s="298">
        <f>Model!AJ14</f>
        <v>50845.56</v>
      </c>
      <c r="AI4" s="298">
        <f>Model!AK14</f>
        <v>50845.56</v>
      </c>
      <c r="AJ4" s="298">
        <f>Model!AL14</f>
        <v>50845.56</v>
      </c>
      <c r="AK4" s="298">
        <f>Model!AM14</f>
        <v>50845.56</v>
      </c>
      <c r="AL4" s="298">
        <f>Model!AN14</f>
        <v>50845.56</v>
      </c>
      <c r="AM4" s="298">
        <f>Model!AO14</f>
        <v>50845.56</v>
      </c>
      <c r="AN4" s="298">
        <f>Model!AP14</f>
        <v>50845.56</v>
      </c>
      <c r="AO4" s="298">
        <f>Model!AQ14</f>
        <v>50845.56</v>
      </c>
      <c r="AP4" s="298">
        <f>Model!AR14</f>
        <v>50845.56</v>
      </c>
      <c r="AQ4" s="298">
        <f>Model!AS14</f>
        <v>50845.56</v>
      </c>
      <c r="AR4" s="298">
        <f>Model!AT14</f>
        <v>50845.56</v>
      </c>
      <c r="AS4" s="298">
        <f>Model!AU14</f>
        <v>50845.56</v>
      </c>
      <c r="AT4" s="298">
        <f>Model!AV14</f>
        <v>50845.56</v>
      </c>
      <c r="AU4" s="298">
        <f>Model!AW14</f>
        <v>50845.56</v>
      </c>
      <c r="AV4" s="298">
        <f>Model!AX14</f>
        <v>50845.56</v>
      </c>
      <c r="AW4" s="298">
        <f>Model!AY14</f>
        <v>50845.56</v>
      </c>
      <c r="AX4" s="298">
        <f>Model!AZ14</f>
        <v>50845.56</v>
      </c>
    </row>
    <row r="5">
      <c r="A5" s="299"/>
      <c r="B5" s="300" t="str">
        <f>Model!B119</f>
        <v>Meet Financial Goal: Purchasing NE London Property</v>
      </c>
      <c r="C5" s="301">
        <f>Model!E149</f>
        <v>-33976.55963</v>
      </c>
      <c r="D5" s="301">
        <f>Model!F149</f>
        <v>-33976.55963</v>
      </c>
      <c r="E5" s="301">
        <f>Model!G149</f>
        <v>-33976.55963</v>
      </c>
      <c r="F5" s="301">
        <f>Model!H149</f>
        <v>-33976.55963</v>
      </c>
      <c r="G5" s="301">
        <f>Model!I149</f>
        <v>-33976.55963</v>
      </c>
      <c r="H5" s="301">
        <f>Model!J149</f>
        <v>-33976.55963</v>
      </c>
      <c r="I5" s="301">
        <f>Model!K149</f>
        <v>-33976.55963</v>
      </c>
      <c r="J5" s="301">
        <f>Model!L149</f>
        <v>-33976.55963</v>
      </c>
      <c r="K5" s="301">
        <f>Model!M149</f>
        <v>-33976.55963</v>
      </c>
      <c r="L5" s="301">
        <f>Model!N149</f>
        <v>-33976.55963</v>
      </c>
      <c r="M5" s="301">
        <f>Model!O149</f>
        <v>-33976.55963</v>
      </c>
      <c r="N5" s="301">
        <f>Model!P149</f>
        <v>-33976.55963</v>
      </c>
      <c r="O5" s="301">
        <f>Model!Q149</f>
        <v>-33976.55963</v>
      </c>
      <c r="P5" s="301">
        <f>Model!R149</f>
        <v>-33976.55963</v>
      </c>
      <c r="Q5" s="301">
        <f>Model!S149</f>
        <v>-33976.55963</v>
      </c>
      <c r="R5" s="301">
        <f>Model!T149</f>
        <v>-33976.55963</v>
      </c>
      <c r="S5" s="301">
        <f>Model!U149</f>
        <v>-33976.55963</v>
      </c>
      <c r="T5" s="301">
        <f>Model!V149</f>
        <v>-33976.55963</v>
      </c>
      <c r="U5" s="301">
        <f>Model!W149</f>
        <v>-33976.55963</v>
      </c>
      <c r="V5" s="301">
        <f>Model!X149</f>
        <v>-33976.55963</v>
      </c>
      <c r="W5" s="301">
        <f>Model!Y149</f>
        <v>-33976.55963</v>
      </c>
      <c r="X5" s="301">
        <f>Model!Z149</f>
        <v>-33976.55963</v>
      </c>
      <c r="Y5" s="301">
        <f>Model!AA149</f>
        <v>-33976.55963</v>
      </c>
      <c r="Z5" s="301">
        <f>Model!AB149</f>
        <v>-33976.55963</v>
      </c>
      <c r="AA5" s="301">
        <f>Model!AC149</f>
        <v>-8000</v>
      </c>
      <c r="AB5" s="301">
        <f>Model!AD149</f>
        <v>0</v>
      </c>
      <c r="AC5" s="301">
        <f>Model!AE149</f>
        <v>0</v>
      </c>
      <c r="AD5" s="301">
        <f>Model!AF149</f>
        <v>0</v>
      </c>
      <c r="AE5" s="301">
        <f>Model!AG149</f>
        <v>0</v>
      </c>
      <c r="AF5" s="301">
        <f>Model!AH149</f>
        <v>0</v>
      </c>
      <c r="AG5" s="301">
        <f>Model!AI149</f>
        <v>0</v>
      </c>
      <c r="AH5" s="301">
        <f>Model!AJ149</f>
        <v>0</v>
      </c>
      <c r="AI5" s="301">
        <f>Model!AK149</f>
        <v>0</v>
      </c>
      <c r="AJ5" s="301">
        <f>Model!AL149</f>
        <v>0</v>
      </c>
      <c r="AK5" s="301">
        <f>Model!AM149</f>
        <v>0</v>
      </c>
      <c r="AL5" s="301">
        <f>Model!AN149</f>
        <v>0</v>
      </c>
      <c r="AM5" s="301">
        <f>Model!AO149</f>
        <v>0</v>
      </c>
      <c r="AN5" s="301">
        <f>Model!AP149</f>
        <v>0</v>
      </c>
      <c r="AO5" s="301">
        <f>Model!AQ149</f>
        <v>0</v>
      </c>
      <c r="AP5" s="301">
        <f>Model!AR149</f>
        <v>0</v>
      </c>
      <c r="AQ5" s="301">
        <f>Model!AS149</f>
        <v>0</v>
      </c>
      <c r="AR5" s="301">
        <f>Model!AT149</f>
        <v>0</v>
      </c>
      <c r="AS5" s="301">
        <f>Model!AU149</f>
        <v>0</v>
      </c>
      <c r="AT5" s="301">
        <f>Model!AV149</f>
        <v>0</v>
      </c>
      <c r="AU5" s="301">
        <f>Model!AW149</f>
        <v>0</v>
      </c>
      <c r="AV5" s="301">
        <f>Model!AX149</f>
        <v>0</v>
      </c>
      <c r="AW5" s="301">
        <f>Model!AY149</f>
        <v>0</v>
      </c>
      <c r="AX5" s="301">
        <f>Model!AZ149</f>
        <v>0</v>
      </c>
    </row>
    <row r="6">
      <c r="A6" s="299"/>
      <c r="B6" s="300" t="str">
        <f>Model!B167</f>
        <v>Meet Financial Goal: Short Term Expenses</v>
      </c>
      <c r="C6" s="301">
        <f>Model!E190</f>
        <v>0</v>
      </c>
      <c r="D6" s="301">
        <f>Model!F190</f>
        <v>0</v>
      </c>
      <c r="E6" s="301">
        <f>Model!G190</f>
        <v>0</v>
      </c>
      <c r="F6" s="301">
        <f>Model!H190</f>
        <v>0</v>
      </c>
      <c r="G6" s="301">
        <f>Model!I190</f>
        <v>0</v>
      </c>
      <c r="H6" s="301">
        <f>Model!J190</f>
        <v>0</v>
      </c>
      <c r="I6" s="301">
        <f>Model!K190</f>
        <v>0</v>
      </c>
      <c r="J6" s="301">
        <f>Model!L190</f>
        <v>0</v>
      </c>
      <c r="K6" s="301">
        <f>Model!M190</f>
        <v>0</v>
      </c>
      <c r="L6" s="301">
        <f>Model!N190</f>
        <v>0</v>
      </c>
      <c r="M6" s="301">
        <f>Model!O190</f>
        <v>0</v>
      </c>
      <c r="N6" s="301">
        <f>Model!P190</f>
        <v>0</v>
      </c>
      <c r="O6" s="301">
        <f>Model!Q190</f>
        <v>0</v>
      </c>
      <c r="P6" s="301">
        <f>Model!R190</f>
        <v>0</v>
      </c>
      <c r="Q6" s="301">
        <f>Model!S190</f>
        <v>0</v>
      </c>
      <c r="R6" s="301">
        <f>Model!T190</f>
        <v>0</v>
      </c>
      <c r="S6" s="301">
        <f>Model!U190</f>
        <v>0</v>
      </c>
      <c r="T6" s="301">
        <f>Model!V190</f>
        <v>0</v>
      </c>
      <c r="U6" s="301">
        <f>Model!W190</f>
        <v>0</v>
      </c>
      <c r="V6" s="301">
        <f>Model!X190</f>
        <v>0</v>
      </c>
      <c r="W6" s="301">
        <f>Model!Y190</f>
        <v>0</v>
      </c>
      <c r="X6" s="301">
        <f>Model!Z190</f>
        <v>0</v>
      </c>
      <c r="Y6" s="301">
        <f>Model!AA190</f>
        <v>0</v>
      </c>
      <c r="Z6" s="301">
        <f>Model!AB190</f>
        <v>0</v>
      </c>
      <c r="AA6" s="301">
        <f>Model!AC190</f>
        <v>0</v>
      </c>
      <c r="AB6" s="301">
        <f>Model!AD190</f>
        <v>0</v>
      </c>
      <c r="AC6" s="301">
        <f>Model!AE190</f>
        <v>0</v>
      </c>
      <c r="AD6" s="301">
        <f>Model!AF190</f>
        <v>0</v>
      </c>
      <c r="AE6" s="301">
        <f>Model!AG190</f>
        <v>0</v>
      </c>
      <c r="AF6" s="301">
        <f>Model!AH190</f>
        <v>0</v>
      </c>
      <c r="AG6" s="301">
        <f>Model!AI190</f>
        <v>0</v>
      </c>
      <c r="AH6" s="301">
        <f>Model!AJ190</f>
        <v>0</v>
      </c>
      <c r="AI6" s="301">
        <f>Model!AK190</f>
        <v>0</v>
      </c>
      <c r="AJ6" s="301">
        <f>Model!AL190</f>
        <v>0</v>
      </c>
      <c r="AK6" s="301">
        <f>Model!AM190</f>
        <v>0</v>
      </c>
      <c r="AL6" s="301">
        <f>Model!AN190</f>
        <v>0</v>
      </c>
      <c r="AM6" s="301">
        <f>Model!AO190</f>
        <v>0</v>
      </c>
      <c r="AN6" s="301">
        <f>Model!AP190</f>
        <v>0</v>
      </c>
      <c r="AO6" s="301">
        <f>Model!AQ190</f>
        <v>0</v>
      </c>
      <c r="AP6" s="301">
        <f>Model!AR190</f>
        <v>0</v>
      </c>
      <c r="AQ6" s="301">
        <f>Model!AS190</f>
        <v>0</v>
      </c>
      <c r="AR6" s="301">
        <f>Model!AT190</f>
        <v>0</v>
      </c>
      <c r="AS6" s="301">
        <f>Model!AU190</f>
        <v>0</v>
      </c>
      <c r="AT6" s="301">
        <f>Model!AV190</f>
        <v>0</v>
      </c>
      <c r="AU6" s="301">
        <f>Model!AW190</f>
        <v>0</v>
      </c>
      <c r="AV6" s="301">
        <f>Model!AX190</f>
        <v>0</v>
      </c>
      <c r="AW6" s="301">
        <f>Model!AY190</f>
        <v>0</v>
      </c>
      <c r="AX6" s="301">
        <f>Model!AZ190</f>
        <v>0</v>
      </c>
    </row>
    <row r="7">
      <c r="A7" s="302"/>
      <c r="B7" s="300" t="str">
        <f>Model!B204</f>
        <v>Meet Financial Goal: Comfortable Retirement</v>
      </c>
      <c r="C7" s="301">
        <f>Model!E229</f>
        <v>-15315.39512</v>
      </c>
      <c r="D7" s="301">
        <f>Model!F229</f>
        <v>-15315.39512</v>
      </c>
      <c r="E7" s="301">
        <f>Model!G229</f>
        <v>-15315.39512</v>
      </c>
      <c r="F7" s="301">
        <f>Model!H229</f>
        <v>-15315.39512</v>
      </c>
      <c r="G7" s="301">
        <f>Model!I229</f>
        <v>-15315.39512</v>
      </c>
      <c r="H7" s="301">
        <f>Model!J229</f>
        <v>-15315.39512</v>
      </c>
      <c r="I7" s="301">
        <f>Model!K229</f>
        <v>-15315.39512</v>
      </c>
      <c r="J7" s="301">
        <f>Model!L229</f>
        <v>-15315.39512</v>
      </c>
      <c r="K7" s="301">
        <f>Model!M229</f>
        <v>-15315.39512</v>
      </c>
      <c r="L7" s="301">
        <f>Model!N229</f>
        <v>-15315.39512</v>
      </c>
      <c r="M7" s="301">
        <f>Model!O229</f>
        <v>-15315.39512</v>
      </c>
      <c r="N7" s="301">
        <f>Model!P229</f>
        <v>-15315.39512</v>
      </c>
      <c r="O7" s="301">
        <f>Model!Q229</f>
        <v>-15315.39512</v>
      </c>
      <c r="P7" s="301">
        <f>Model!R229</f>
        <v>-15315.39512</v>
      </c>
      <c r="Q7" s="301">
        <f>Model!S229</f>
        <v>-15315.39512</v>
      </c>
      <c r="R7" s="301">
        <f>Model!T229</f>
        <v>-15315.39512</v>
      </c>
      <c r="S7" s="301">
        <f>Model!U229</f>
        <v>-15315.39512</v>
      </c>
      <c r="T7" s="301">
        <f>Model!V229</f>
        <v>-15315.39512</v>
      </c>
      <c r="U7" s="301">
        <f>Model!W229</f>
        <v>-15315.39512</v>
      </c>
      <c r="V7" s="301">
        <f>Model!X229</f>
        <v>-15315.39512</v>
      </c>
      <c r="W7" s="301">
        <f>Model!Y229</f>
        <v>-15315.39512</v>
      </c>
      <c r="X7" s="301">
        <f>Model!Z229</f>
        <v>-15315.39512</v>
      </c>
      <c r="Y7" s="301">
        <f>Model!AA229</f>
        <v>-15315.39512</v>
      </c>
      <c r="Z7" s="301">
        <f>Model!AB229</f>
        <v>-15315.39512</v>
      </c>
      <c r="AA7" s="301">
        <f>Model!AC229</f>
        <v>-15315.39512</v>
      </c>
      <c r="AB7" s="301">
        <f>Model!AD229</f>
        <v>-15315.39512</v>
      </c>
      <c r="AC7" s="301">
        <f>Model!AE229</f>
        <v>-15315.39512</v>
      </c>
      <c r="AD7" s="301">
        <f>Model!AF229</f>
        <v>-15315.39512</v>
      </c>
      <c r="AE7" s="301">
        <f>Model!AG229</f>
        <v>-15315.39512</v>
      </c>
      <c r="AF7" s="301">
        <f>Model!AH229</f>
        <v>-15315.39512</v>
      </c>
      <c r="AG7" s="301">
        <f>Model!AI229</f>
        <v>-15315.39512</v>
      </c>
      <c r="AH7" s="301">
        <f>Model!AJ229</f>
        <v>-15315.39512</v>
      </c>
      <c r="AI7" s="301">
        <f>Model!AK229</f>
        <v>-15315.39512</v>
      </c>
      <c r="AJ7" s="301">
        <f>Model!AL229</f>
        <v>-15315.39512</v>
      </c>
      <c r="AK7" s="301">
        <f>Model!AM229</f>
        <v>-15315.39512</v>
      </c>
      <c r="AL7" s="301">
        <f>Model!AN229</f>
        <v>50000</v>
      </c>
      <c r="AM7" s="301">
        <f>Model!AO229</f>
        <v>50000</v>
      </c>
      <c r="AN7" s="301">
        <f>Model!AP229</f>
        <v>50000</v>
      </c>
      <c r="AO7" s="301">
        <f>Model!AQ229</f>
        <v>50000</v>
      </c>
      <c r="AP7" s="301">
        <f>Model!AR229</f>
        <v>50000</v>
      </c>
      <c r="AQ7" s="301">
        <f>Model!AS229</f>
        <v>50000</v>
      </c>
      <c r="AR7" s="301">
        <f>Model!AT229</f>
        <v>50000</v>
      </c>
      <c r="AS7" s="301">
        <f>Model!AU229</f>
        <v>50000</v>
      </c>
      <c r="AT7" s="301">
        <f>Model!AV229</f>
        <v>50000</v>
      </c>
      <c r="AU7" s="301">
        <f>Model!AW229</f>
        <v>50000</v>
      </c>
      <c r="AV7" s="301">
        <f>Model!AX229</f>
        <v>50000</v>
      </c>
      <c r="AW7" s="301">
        <f>Model!AY229</f>
        <v>50000</v>
      </c>
      <c r="AX7" s="301">
        <f>Model!AZ229</f>
        <v>50000</v>
      </c>
    </row>
    <row r="8">
      <c r="A8" s="302"/>
      <c r="B8" s="303" t="s">
        <v>533</v>
      </c>
      <c r="C8" s="298">
        <f t="shared" ref="C8:AX8" si="1">sum(C4:C7)</f>
        <v>1553.605248</v>
      </c>
      <c r="D8" s="298">
        <f t="shared" si="1"/>
        <v>1553.605248</v>
      </c>
      <c r="E8" s="298">
        <f t="shared" si="1"/>
        <v>1553.605248</v>
      </c>
      <c r="F8" s="298">
        <f t="shared" si="1"/>
        <v>1553.605248</v>
      </c>
      <c r="G8" s="298">
        <f t="shared" si="1"/>
        <v>1553.605248</v>
      </c>
      <c r="H8" s="298">
        <f t="shared" si="1"/>
        <v>1553.605248</v>
      </c>
      <c r="I8" s="298">
        <f t="shared" si="1"/>
        <v>1553.605248</v>
      </c>
      <c r="J8" s="298">
        <f t="shared" si="1"/>
        <v>1553.605248</v>
      </c>
      <c r="K8" s="298">
        <f t="shared" si="1"/>
        <v>1553.605248</v>
      </c>
      <c r="L8" s="298">
        <f t="shared" si="1"/>
        <v>1553.605248</v>
      </c>
      <c r="M8" s="298">
        <f t="shared" si="1"/>
        <v>1553.605248</v>
      </c>
      <c r="N8" s="298">
        <f t="shared" si="1"/>
        <v>1553.605248</v>
      </c>
      <c r="O8" s="298">
        <f t="shared" si="1"/>
        <v>1553.605248</v>
      </c>
      <c r="P8" s="298">
        <f t="shared" si="1"/>
        <v>1553.605248</v>
      </c>
      <c r="Q8" s="298">
        <f t="shared" si="1"/>
        <v>1553.605248</v>
      </c>
      <c r="R8" s="298">
        <f t="shared" si="1"/>
        <v>1553.605248</v>
      </c>
      <c r="S8" s="298">
        <f t="shared" si="1"/>
        <v>1553.605248</v>
      </c>
      <c r="T8" s="298">
        <f t="shared" si="1"/>
        <v>1553.605248</v>
      </c>
      <c r="U8" s="298">
        <f t="shared" si="1"/>
        <v>1553.605248</v>
      </c>
      <c r="V8" s="298">
        <f t="shared" si="1"/>
        <v>1553.605248</v>
      </c>
      <c r="W8" s="298">
        <f t="shared" si="1"/>
        <v>1553.605248</v>
      </c>
      <c r="X8" s="298">
        <f t="shared" si="1"/>
        <v>1553.605248</v>
      </c>
      <c r="Y8" s="298">
        <f t="shared" si="1"/>
        <v>1553.605248</v>
      </c>
      <c r="Z8" s="298">
        <f t="shared" si="1"/>
        <v>1553.605248</v>
      </c>
      <c r="AA8" s="298">
        <f t="shared" si="1"/>
        <v>27530.16488</v>
      </c>
      <c r="AB8" s="298">
        <f t="shared" si="1"/>
        <v>35530.16488</v>
      </c>
      <c r="AC8" s="298">
        <f t="shared" si="1"/>
        <v>35530.16488</v>
      </c>
      <c r="AD8" s="298">
        <f t="shared" si="1"/>
        <v>35530.16488</v>
      </c>
      <c r="AE8" s="298">
        <f t="shared" si="1"/>
        <v>35530.16488</v>
      </c>
      <c r="AF8" s="298">
        <f t="shared" si="1"/>
        <v>35530.16488</v>
      </c>
      <c r="AG8" s="298">
        <f t="shared" si="1"/>
        <v>35530.16488</v>
      </c>
      <c r="AH8" s="298">
        <f t="shared" si="1"/>
        <v>35530.16488</v>
      </c>
      <c r="AI8" s="298">
        <f t="shared" si="1"/>
        <v>35530.16488</v>
      </c>
      <c r="AJ8" s="298">
        <f t="shared" si="1"/>
        <v>35530.16488</v>
      </c>
      <c r="AK8" s="298">
        <f t="shared" si="1"/>
        <v>35530.16488</v>
      </c>
      <c r="AL8" s="298">
        <f t="shared" si="1"/>
        <v>100845.56</v>
      </c>
      <c r="AM8" s="298">
        <f t="shared" si="1"/>
        <v>100845.56</v>
      </c>
      <c r="AN8" s="298">
        <f t="shared" si="1"/>
        <v>100845.56</v>
      </c>
      <c r="AO8" s="298">
        <f t="shared" si="1"/>
        <v>100845.56</v>
      </c>
      <c r="AP8" s="298">
        <f t="shared" si="1"/>
        <v>100845.56</v>
      </c>
      <c r="AQ8" s="298">
        <f t="shared" si="1"/>
        <v>100845.56</v>
      </c>
      <c r="AR8" s="298">
        <f t="shared" si="1"/>
        <v>100845.56</v>
      </c>
      <c r="AS8" s="298">
        <f t="shared" si="1"/>
        <v>100845.56</v>
      </c>
      <c r="AT8" s="298">
        <f t="shared" si="1"/>
        <v>100845.56</v>
      </c>
      <c r="AU8" s="298">
        <f t="shared" si="1"/>
        <v>100845.56</v>
      </c>
      <c r="AV8" s="298">
        <f t="shared" si="1"/>
        <v>100845.56</v>
      </c>
      <c r="AW8" s="298">
        <f t="shared" si="1"/>
        <v>100845.56</v>
      </c>
      <c r="AX8" s="298">
        <f t="shared" si="1"/>
        <v>100845.56</v>
      </c>
    </row>
    <row r="9">
      <c r="A9" s="304"/>
      <c r="B9" s="305" t="s">
        <v>534</v>
      </c>
      <c r="C9" s="301">
        <f>Model!E261</f>
        <v>2160</v>
      </c>
      <c r="D9" s="301">
        <f>Model!F261</f>
        <v>2203.2</v>
      </c>
      <c r="E9" s="301">
        <f>Model!G261</f>
        <v>2247.264</v>
      </c>
      <c r="F9" s="301">
        <f>Model!H261</f>
        <v>2292.20928</v>
      </c>
      <c r="G9" s="301">
        <f>Model!I261</f>
        <v>2338.053466</v>
      </c>
      <c r="H9" s="301">
        <f>Model!J261</f>
        <v>2384.814535</v>
      </c>
      <c r="I9" s="301">
        <f>Model!K261</f>
        <v>2432.510826</v>
      </c>
      <c r="J9" s="301">
        <f>Model!L261</f>
        <v>2481.161042</v>
      </c>
      <c r="K9" s="301">
        <f>Model!M261</f>
        <v>2530.784263</v>
      </c>
      <c r="L9" s="301">
        <f>Model!N261</f>
        <v>2581.399948</v>
      </c>
      <c r="M9" s="301">
        <f>Model!O261</f>
        <v>2633.027947</v>
      </c>
      <c r="N9" s="301">
        <f>Model!P261</f>
        <v>2685.688506</v>
      </c>
      <c r="O9" s="301">
        <f>Model!Q261</f>
        <v>2739.402276</v>
      </c>
      <c r="P9" s="301">
        <f>Model!R261</f>
        <v>2794.190322</v>
      </c>
      <c r="Q9" s="301">
        <f>Model!S261</f>
        <v>2850.074128</v>
      </c>
      <c r="R9" s="301">
        <f>Model!T261</f>
        <v>2907.075611</v>
      </c>
      <c r="S9" s="301">
        <f>Model!U261</f>
        <v>2965.217123</v>
      </c>
      <c r="T9" s="301">
        <f>Model!V261</f>
        <v>3024.521465</v>
      </c>
      <c r="U9" s="301">
        <f>Model!W261</f>
        <v>3085.011895</v>
      </c>
      <c r="V9" s="301">
        <f>Model!X261</f>
        <v>3146.712133</v>
      </c>
      <c r="W9" s="301">
        <f>Model!Y261</f>
        <v>3209.646375</v>
      </c>
      <c r="X9" s="301">
        <f>Model!Z261</f>
        <v>3273.839303</v>
      </c>
      <c r="Y9" s="301">
        <f>Model!AA261</f>
        <v>3339.316089</v>
      </c>
      <c r="Z9" s="301">
        <f>Model!AB261</f>
        <v>3406.102411</v>
      </c>
      <c r="AA9" s="301">
        <f>Model!AC261</f>
        <v>3474.224459</v>
      </c>
      <c r="AB9" s="301">
        <f>Model!AD261</f>
        <v>3543.708948</v>
      </c>
      <c r="AC9" s="301">
        <f>Model!AE261</f>
        <v>3614.583127</v>
      </c>
      <c r="AD9" s="301">
        <f>Model!AF261</f>
        <v>3686.87479</v>
      </c>
      <c r="AE9" s="301">
        <f>Model!AG261</f>
        <v>3760.612285</v>
      </c>
      <c r="AF9" s="301">
        <f>Model!AH261</f>
        <v>3835.824531</v>
      </c>
      <c r="AG9" s="301">
        <f>Model!AI261</f>
        <v>3912.541022</v>
      </c>
      <c r="AH9" s="301">
        <f>Model!AJ261</f>
        <v>3990.791842</v>
      </c>
      <c r="AI9" s="301">
        <f>Model!AK261</f>
        <v>4070.607679</v>
      </c>
      <c r="AJ9" s="301">
        <f>Model!AL261</f>
        <v>4152.019833</v>
      </c>
      <c r="AK9" s="301">
        <f>Model!AM261</f>
        <v>4235.060229</v>
      </c>
      <c r="AL9" s="301">
        <f>Model!AN261</f>
        <v>4319.761434</v>
      </c>
      <c r="AM9" s="301">
        <f>Model!AO261</f>
        <v>0</v>
      </c>
      <c r="AN9" s="301">
        <f>Model!AP261</f>
        <v>0</v>
      </c>
      <c r="AO9" s="301">
        <f>Model!AQ261</f>
        <v>0</v>
      </c>
      <c r="AP9" s="301">
        <f>Model!AR261</f>
        <v>0</v>
      </c>
      <c r="AQ9" s="301">
        <f>Model!AS261</f>
        <v>0</v>
      </c>
      <c r="AR9" s="301">
        <f>Model!AT261</f>
        <v>0</v>
      </c>
      <c r="AS9" s="301">
        <f>Model!AU261</f>
        <v>0</v>
      </c>
      <c r="AT9" s="301">
        <f>Model!AV261</f>
        <v>0</v>
      </c>
      <c r="AU9" s="301">
        <f>Model!AW261</f>
        <v>0</v>
      </c>
      <c r="AV9" s="301">
        <f>Model!AX261</f>
        <v>0</v>
      </c>
      <c r="AW9" s="301">
        <f>Model!AY261</f>
        <v>0</v>
      </c>
      <c r="AX9" s="301">
        <f>Model!AZ261</f>
        <v>0</v>
      </c>
    </row>
    <row r="10">
      <c r="A10" s="304"/>
      <c r="B10" s="305" t="s">
        <v>535</v>
      </c>
      <c r="C10" s="301">
        <f>Model!E291</f>
        <v>0</v>
      </c>
      <c r="D10" s="301">
        <f>Model!F291</f>
        <v>0</v>
      </c>
      <c r="E10" s="301">
        <f>Model!G291</f>
        <v>0</v>
      </c>
      <c r="F10" s="301">
        <f>Model!H291</f>
        <v>0</v>
      </c>
      <c r="G10" s="301">
        <f>Model!I291</f>
        <v>0</v>
      </c>
      <c r="H10" s="301">
        <f>Model!J291</f>
        <v>0</v>
      </c>
      <c r="I10" s="301">
        <f>Model!K291</f>
        <v>0</v>
      </c>
      <c r="J10" s="301">
        <f>Model!L291</f>
        <v>0</v>
      </c>
      <c r="K10" s="301">
        <f>Model!M291</f>
        <v>0</v>
      </c>
      <c r="L10" s="301">
        <f>Model!N291</f>
        <v>0</v>
      </c>
      <c r="M10" s="301">
        <f>Model!O291</f>
        <v>0</v>
      </c>
      <c r="N10" s="301">
        <f>Model!P291</f>
        <v>0</v>
      </c>
      <c r="O10" s="301">
        <f>Model!Q291</f>
        <v>0</v>
      </c>
      <c r="P10" s="301">
        <f>Model!R291</f>
        <v>0</v>
      </c>
      <c r="Q10" s="301">
        <f>Model!S291</f>
        <v>0</v>
      </c>
      <c r="R10" s="301">
        <f>Model!T291</f>
        <v>0</v>
      </c>
      <c r="S10" s="301">
        <f>Model!U291</f>
        <v>0</v>
      </c>
      <c r="T10" s="301">
        <f>Model!V291</f>
        <v>0</v>
      </c>
      <c r="U10" s="301">
        <f>Model!W291</f>
        <v>0</v>
      </c>
      <c r="V10" s="301">
        <f>Model!X291</f>
        <v>0</v>
      </c>
      <c r="W10" s="301">
        <f>Model!Y291</f>
        <v>0</v>
      </c>
      <c r="X10" s="301">
        <f>Model!Z291</f>
        <v>0</v>
      </c>
      <c r="Y10" s="301">
        <f>Model!AA291</f>
        <v>0</v>
      </c>
      <c r="Z10" s="301">
        <f>Model!AB291</f>
        <v>0</v>
      </c>
      <c r="AA10" s="301">
        <f>Model!AC291</f>
        <v>0</v>
      </c>
      <c r="AB10" s="301">
        <f>Model!AD291</f>
        <v>0</v>
      </c>
      <c r="AC10" s="301">
        <f>Model!AE291</f>
        <v>0</v>
      </c>
      <c r="AD10" s="301">
        <f>Model!AF291</f>
        <v>0</v>
      </c>
      <c r="AE10" s="301">
        <f>Model!AG291</f>
        <v>0</v>
      </c>
      <c r="AF10" s="301">
        <f>Model!AH291</f>
        <v>0</v>
      </c>
      <c r="AG10" s="301">
        <f>Model!AI291</f>
        <v>0</v>
      </c>
      <c r="AH10" s="301">
        <f>Model!AJ291</f>
        <v>0</v>
      </c>
      <c r="AI10" s="301">
        <f>Model!AK291</f>
        <v>0</v>
      </c>
      <c r="AJ10" s="301">
        <f>Model!AL291</f>
        <v>0</v>
      </c>
      <c r="AK10" s="301">
        <f>Model!AM291</f>
        <v>0</v>
      </c>
      <c r="AL10" s="301">
        <f>Model!AN291</f>
        <v>0</v>
      </c>
      <c r="AM10" s="301">
        <f>Model!AO291</f>
        <v>0</v>
      </c>
      <c r="AN10" s="301">
        <f>Model!AP291</f>
        <v>0</v>
      </c>
      <c r="AO10" s="301">
        <f>Model!AQ291</f>
        <v>0</v>
      </c>
      <c r="AP10" s="301">
        <f>Model!AR291</f>
        <v>0</v>
      </c>
      <c r="AQ10" s="301">
        <f>Model!AS291</f>
        <v>0</v>
      </c>
      <c r="AR10" s="301">
        <f>Model!AT291</f>
        <v>0</v>
      </c>
      <c r="AS10" s="301">
        <f>Model!AU291</f>
        <v>0</v>
      </c>
      <c r="AT10" s="301">
        <f>Model!AV291</f>
        <v>0</v>
      </c>
      <c r="AU10" s="301">
        <f>Model!AW291</f>
        <v>0</v>
      </c>
      <c r="AV10" s="301">
        <f>Model!AX291</f>
        <v>0</v>
      </c>
      <c r="AW10" s="301">
        <f>Model!AY291</f>
        <v>0</v>
      </c>
      <c r="AX10" s="301">
        <f>Model!AZ291</f>
        <v>0</v>
      </c>
    </row>
    <row r="11">
      <c r="A11" s="304"/>
      <c r="B11" s="305" t="s">
        <v>536</v>
      </c>
      <c r="C11" s="301">
        <f>Model!E325</f>
        <v>2070</v>
      </c>
      <c r="D11" s="301">
        <f>Model!F325</f>
        <v>2070</v>
      </c>
      <c r="E11" s="301">
        <f>Model!G325</f>
        <v>2070</v>
      </c>
      <c r="F11" s="301">
        <f>Model!H325</f>
        <v>2070</v>
      </c>
      <c r="G11" s="301">
        <f>Model!I325</f>
        <v>2070</v>
      </c>
      <c r="H11" s="301">
        <f>Model!J325</f>
        <v>2070</v>
      </c>
      <c r="I11" s="301">
        <f>Model!K325</f>
        <v>2070</v>
      </c>
      <c r="J11" s="301">
        <f>Model!L325</f>
        <v>2070</v>
      </c>
      <c r="K11" s="301">
        <f>Model!M325</f>
        <v>2070</v>
      </c>
      <c r="L11" s="301">
        <f>Model!N325</f>
        <v>2070</v>
      </c>
      <c r="M11" s="301">
        <f>Model!O325</f>
        <v>2070</v>
      </c>
      <c r="N11" s="301">
        <f>Model!P325</f>
        <v>2070</v>
      </c>
      <c r="O11" s="301">
        <f>Model!Q325</f>
        <v>2070</v>
      </c>
      <c r="P11" s="301">
        <f>Model!R325</f>
        <v>2070</v>
      </c>
      <c r="Q11" s="301">
        <f>Model!S325</f>
        <v>2070</v>
      </c>
      <c r="R11" s="301">
        <f>Model!T325</f>
        <v>2070</v>
      </c>
      <c r="S11" s="301">
        <f>Model!U325</f>
        <v>2070</v>
      </c>
      <c r="T11" s="301">
        <f>Model!V325</f>
        <v>2070</v>
      </c>
      <c r="U11" s="301">
        <f>Model!W325</f>
        <v>2070</v>
      </c>
      <c r="V11" s="301">
        <f>Model!X325</f>
        <v>2070</v>
      </c>
      <c r="W11" s="301">
        <f>Model!Y325</f>
        <v>2070</v>
      </c>
      <c r="X11" s="301">
        <f>Model!Z325</f>
        <v>2070</v>
      </c>
      <c r="Y11" s="301">
        <f>Model!AA325</f>
        <v>2070</v>
      </c>
      <c r="Z11" s="301">
        <f>Model!AB325</f>
        <v>2070</v>
      </c>
      <c r="AA11" s="301">
        <f>Model!AC325</f>
        <v>2070</v>
      </c>
      <c r="AB11" s="301">
        <f>Model!AD325</f>
        <v>2070</v>
      </c>
      <c r="AC11" s="301">
        <f>Model!AE325</f>
        <v>2070</v>
      </c>
      <c r="AD11" s="301">
        <f>Model!AF325</f>
        <v>2070</v>
      </c>
      <c r="AE11" s="301">
        <f>Model!AG325</f>
        <v>2070</v>
      </c>
      <c r="AF11" s="301">
        <f>Model!AH325</f>
        <v>2070</v>
      </c>
      <c r="AG11" s="301">
        <f>Model!AI325</f>
        <v>2070</v>
      </c>
      <c r="AH11" s="301">
        <f>Model!AJ325</f>
        <v>2070</v>
      </c>
      <c r="AI11" s="301">
        <f>Model!AK325</f>
        <v>2070</v>
      </c>
      <c r="AJ11" s="301">
        <f>Model!AL325</f>
        <v>2070</v>
      </c>
      <c r="AK11" s="301">
        <f>Model!AM325</f>
        <v>2070</v>
      </c>
      <c r="AL11" s="301">
        <f>Model!AN325</f>
        <v>2070</v>
      </c>
      <c r="AM11" s="301">
        <f>Model!AO325</f>
        <v>2070</v>
      </c>
      <c r="AN11" s="301">
        <f>Model!AP325</f>
        <v>2070</v>
      </c>
      <c r="AO11" s="301">
        <f>Model!AQ325</f>
        <v>2070</v>
      </c>
      <c r="AP11" s="301">
        <f>Model!AR325</f>
        <v>2070</v>
      </c>
      <c r="AQ11" s="301">
        <f>Model!AS325</f>
        <v>2070</v>
      </c>
      <c r="AR11" s="301">
        <f>Model!AT325</f>
        <v>2070</v>
      </c>
      <c r="AS11" s="301">
        <f>Model!AU325</f>
        <v>2070</v>
      </c>
      <c r="AT11" s="301">
        <f>Model!AV325</f>
        <v>2070</v>
      </c>
      <c r="AU11" s="301">
        <f>Model!AW325</f>
        <v>2070</v>
      </c>
      <c r="AV11" s="301">
        <f>Model!AX325</f>
        <v>2070</v>
      </c>
      <c r="AW11" s="301">
        <f>Model!AY325</f>
        <v>2070</v>
      </c>
      <c r="AX11" s="301">
        <f>Model!AZ325</f>
        <v>2070</v>
      </c>
    </row>
    <row r="12">
      <c r="A12" s="306"/>
      <c r="B12" s="307" t="s">
        <v>537</v>
      </c>
      <c r="C12" s="298">
        <f t="shared" ref="C12:AX12" si="2">SUBTOTAL(9, C9:C11)</f>
        <v>4230</v>
      </c>
      <c r="D12" s="298">
        <f t="shared" si="2"/>
        <v>4273.2</v>
      </c>
      <c r="E12" s="298">
        <f t="shared" si="2"/>
        <v>4317.264</v>
      </c>
      <c r="F12" s="298">
        <f t="shared" si="2"/>
        <v>4362.20928</v>
      </c>
      <c r="G12" s="298">
        <f t="shared" si="2"/>
        <v>4408.053466</v>
      </c>
      <c r="H12" s="298">
        <f t="shared" si="2"/>
        <v>4454.814535</v>
      </c>
      <c r="I12" s="298">
        <f t="shared" si="2"/>
        <v>4502.510826</v>
      </c>
      <c r="J12" s="298">
        <f t="shared" si="2"/>
        <v>4551.161042</v>
      </c>
      <c r="K12" s="298">
        <f t="shared" si="2"/>
        <v>4600.784263</v>
      </c>
      <c r="L12" s="298">
        <f t="shared" si="2"/>
        <v>4651.399948</v>
      </c>
      <c r="M12" s="298">
        <f t="shared" si="2"/>
        <v>4703.027947</v>
      </c>
      <c r="N12" s="298">
        <f t="shared" si="2"/>
        <v>4755.688506</v>
      </c>
      <c r="O12" s="298">
        <f t="shared" si="2"/>
        <v>4809.402276</v>
      </c>
      <c r="P12" s="298">
        <f t="shared" si="2"/>
        <v>4864.190322</v>
      </c>
      <c r="Q12" s="298">
        <f t="shared" si="2"/>
        <v>4920.074128</v>
      </c>
      <c r="R12" s="298">
        <f t="shared" si="2"/>
        <v>4977.075611</v>
      </c>
      <c r="S12" s="298">
        <f t="shared" si="2"/>
        <v>5035.217123</v>
      </c>
      <c r="T12" s="298">
        <f t="shared" si="2"/>
        <v>5094.521465</v>
      </c>
      <c r="U12" s="298">
        <f t="shared" si="2"/>
        <v>5155.011895</v>
      </c>
      <c r="V12" s="298">
        <f t="shared" si="2"/>
        <v>5216.712133</v>
      </c>
      <c r="W12" s="298">
        <f t="shared" si="2"/>
        <v>5279.646375</v>
      </c>
      <c r="X12" s="298">
        <f t="shared" si="2"/>
        <v>5343.839303</v>
      </c>
      <c r="Y12" s="298">
        <f t="shared" si="2"/>
        <v>5409.316089</v>
      </c>
      <c r="Z12" s="298">
        <f t="shared" si="2"/>
        <v>5476.102411</v>
      </c>
      <c r="AA12" s="298">
        <f t="shared" si="2"/>
        <v>5544.224459</v>
      </c>
      <c r="AB12" s="298">
        <f t="shared" si="2"/>
        <v>5613.708948</v>
      </c>
      <c r="AC12" s="298">
        <f t="shared" si="2"/>
        <v>5684.583127</v>
      </c>
      <c r="AD12" s="298">
        <f t="shared" si="2"/>
        <v>5756.87479</v>
      </c>
      <c r="AE12" s="298">
        <f t="shared" si="2"/>
        <v>5830.612285</v>
      </c>
      <c r="AF12" s="298">
        <f t="shared" si="2"/>
        <v>5905.824531</v>
      </c>
      <c r="AG12" s="298">
        <f t="shared" si="2"/>
        <v>5982.541022</v>
      </c>
      <c r="AH12" s="298">
        <f t="shared" si="2"/>
        <v>6060.791842</v>
      </c>
      <c r="AI12" s="298">
        <f t="shared" si="2"/>
        <v>6140.607679</v>
      </c>
      <c r="AJ12" s="298">
        <f t="shared" si="2"/>
        <v>6222.019833</v>
      </c>
      <c r="AK12" s="298">
        <f t="shared" si="2"/>
        <v>6305.060229</v>
      </c>
      <c r="AL12" s="298">
        <f t="shared" si="2"/>
        <v>6389.761434</v>
      </c>
      <c r="AM12" s="298">
        <f t="shared" si="2"/>
        <v>2070</v>
      </c>
      <c r="AN12" s="298">
        <f t="shared" si="2"/>
        <v>2070</v>
      </c>
      <c r="AO12" s="298">
        <f t="shared" si="2"/>
        <v>2070</v>
      </c>
      <c r="AP12" s="298">
        <f t="shared" si="2"/>
        <v>2070</v>
      </c>
      <c r="AQ12" s="298">
        <f t="shared" si="2"/>
        <v>2070</v>
      </c>
      <c r="AR12" s="298">
        <f t="shared" si="2"/>
        <v>2070</v>
      </c>
      <c r="AS12" s="298">
        <f t="shared" si="2"/>
        <v>2070</v>
      </c>
      <c r="AT12" s="298">
        <f t="shared" si="2"/>
        <v>2070</v>
      </c>
      <c r="AU12" s="298">
        <f t="shared" si="2"/>
        <v>2070</v>
      </c>
      <c r="AV12" s="298">
        <f t="shared" si="2"/>
        <v>2070</v>
      </c>
      <c r="AW12" s="298">
        <f t="shared" si="2"/>
        <v>2070</v>
      </c>
      <c r="AX12" s="298">
        <f t="shared" si="2"/>
        <v>2070</v>
      </c>
    </row>
    <row r="13">
      <c r="A13" s="306"/>
      <c r="B13" s="307" t="s">
        <v>538</v>
      </c>
      <c r="C13" s="298">
        <f t="shared" ref="C13:AX13" si="3">SUM(C8:C11)</f>
        <v>5783.605248</v>
      </c>
      <c r="D13" s="298">
        <f t="shared" si="3"/>
        <v>5826.805248</v>
      </c>
      <c r="E13" s="298">
        <f t="shared" si="3"/>
        <v>5870.869248</v>
      </c>
      <c r="F13" s="298">
        <f t="shared" si="3"/>
        <v>5915.814528</v>
      </c>
      <c r="G13" s="298">
        <f t="shared" si="3"/>
        <v>5961.658714</v>
      </c>
      <c r="H13" s="298">
        <f t="shared" si="3"/>
        <v>6008.419783</v>
      </c>
      <c r="I13" s="298">
        <f t="shared" si="3"/>
        <v>6056.116074</v>
      </c>
      <c r="J13" s="298">
        <f t="shared" si="3"/>
        <v>6104.766291</v>
      </c>
      <c r="K13" s="298">
        <f t="shared" si="3"/>
        <v>6154.389511</v>
      </c>
      <c r="L13" s="298">
        <f t="shared" si="3"/>
        <v>6205.005197</v>
      </c>
      <c r="M13" s="298">
        <f t="shared" si="3"/>
        <v>6256.633196</v>
      </c>
      <c r="N13" s="298">
        <f t="shared" si="3"/>
        <v>6309.293755</v>
      </c>
      <c r="O13" s="298">
        <f t="shared" si="3"/>
        <v>6363.007525</v>
      </c>
      <c r="P13" s="298">
        <f t="shared" si="3"/>
        <v>6417.79557</v>
      </c>
      <c r="Q13" s="298">
        <f t="shared" si="3"/>
        <v>6473.679377</v>
      </c>
      <c r="R13" s="298">
        <f t="shared" si="3"/>
        <v>6530.680859</v>
      </c>
      <c r="S13" s="298">
        <f t="shared" si="3"/>
        <v>6588.822371</v>
      </c>
      <c r="T13" s="298">
        <f t="shared" si="3"/>
        <v>6648.126714</v>
      </c>
      <c r="U13" s="298">
        <f t="shared" si="3"/>
        <v>6708.617143</v>
      </c>
      <c r="V13" s="298">
        <f t="shared" si="3"/>
        <v>6770.317381</v>
      </c>
      <c r="W13" s="298">
        <f t="shared" si="3"/>
        <v>6833.251624</v>
      </c>
      <c r="X13" s="298">
        <f t="shared" si="3"/>
        <v>6897.444551</v>
      </c>
      <c r="Y13" s="298">
        <f t="shared" si="3"/>
        <v>6962.921337</v>
      </c>
      <c r="Z13" s="298">
        <f t="shared" si="3"/>
        <v>7029.707659</v>
      </c>
      <c r="AA13" s="298">
        <f t="shared" si="3"/>
        <v>33074.38934</v>
      </c>
      <c r="AB13" s="298">
        <f t="shared" si="3"/>
        <v>41143.87383</v>
      </c>
      <c r="AC13" s="298">
        <f t="shared" si="3"/>
        <v>41214.74801</v>
      </c>
      <c r="AD13" s="298">
        <f t="shared" si="3"/>
        <v>41287.03967</v>
      </c>
      <c r="AE13" s="298">
        <f t="shared" si="3"/>
        <v>41360.77717</v>
      </c>
      <c r="AF13" s="298">
        <f t="shared" si="3"/>
        <v>41435.98941</v>
      </c>
      <c r="AG13" s="298">
        <f t="shared" si="3"/>
        <v>41512.7059</v>
      </c>
      <c r="AH13" s="298">
        <f t="shared" si="3"/>
        <v>41590.95672</v>
      </c>
      <c r="AI13" s="298">
        <f t="shared" si="3"/>
        <v>41670.77256</v>
      </c>
      <c r="AJ13" s="298">
        <f t="shared" si="3"/>
        <v>41752.18471</v>
      </c>
      <c r="AK13" s="298">
        <f t="shared" si="3"/>
        <v>41835.22511</v>
      </c>
      <c r="AL13" s="298">
        <f t="shared" si="3"/>
        <v>107235.3214</v>
      </c>
      <c r="AM13" s="298">
        <f t="shared" si="3"/>
        <v>102915.56</v>
      </c>
      <c r="AN13" s="298">
        <f t="shared" si="3"/>
        <v>102915.56</v>
      </c>
      <c r="AO13" s="298">
        <f t="shared" si="3"/>
        <v>102915.56</v>
      </c>
      <c r="AP13" s="298">
        <f t="shared" si="3"/>
        <v>102915.56</v>
      </c>
      <c r="AQ13" s="298">
        <f t="shared" si="3"/>
        <v>102915.56</v>
      </c>
      <c r="AR13" s="298">
        <f t="shared" si="3"/>
        <v>102915.56</v>
      </c>
      <c r="AS13" s="298">
        <f t="shared" si="3"/>
        <v>102915.56</v>
      </c>
      <c r="AT13" s="298">
        <f t="shared" si="3"/>
        <v>102915.56</v>
      </c>
      <c r="AU13" s="298">
        <f t="shared" si="3"/>
        <v>102915.56</v>
      </c>
      <c r="AV13" s="298">
        <f t="shared" si="3"/>
        <v>102915.56</v>
      </c>
      <c r="AW13" s="298">
        <f t="shared" si="3"/>
        <v>102915.56</v>
      </c>
      <c r="AX13" s="298">
        <f t="shared" si="3"/>
        <v>102915.56</v>
      </c>
    </row>
    <row r="14">
      <c r="A14" s="304"/>
      <c r="B14" s="305" t="s">
        <v>539</v>
      </c>
      <c r="C14" s="308">
        <v>0.0</v>
      </c>
      <c r="D14" s="308">
        <v>0.0</v>
      </c>
      <c r="E14" s="308">
        <v>0.0</v>
      </c>
      <c r="F14" s="308">
        <v>0.0</v>
      </c>
      <c r="G14" s="308">
        <v>0.0</v>
      </c>
      <c r="H14" s="308">
        <v>0.0</v>
      </c>
      <c r="I14" s="308">
        <v>0.0</v>
      </c>
      <c r="J14" s="308">
        <v>0.0</v>
      </c>
      <c r="K14" s="308">
        <v>0.0</v>
      </c>
      <c r="L14" s="308">
        <v>0.0</v>
      </c>
      <c r="M14" s="308">
        <v>0.0</v>
      </c>
      <c r="N14" s="308">
        <v>0.0</v>
      </c>
      <c r="O14" s="308">
        <v>0.0</v>
      </c>
      <c r="P14" s="308">
        <v>0.0</v>
      </c>
      <c r="Q14" s="308">
        <v>0.0</v>
      </c>
      <c r="R14" s="308">
        <v>0.0</v>
      </c>
      <c r="S14" s="308">
        <v>0.0</v>
      </c>
      <c r="T14" s="308">
        <v>0.0</v>
      </c>
      <c r="U14" s="308">
        <v>0.0</v>
      </c>
      <c r="V14" s="308">
        <v>0.0</v>
      </c>
      <c r="W14" s="308">
        <v>0.0</v>
      </c>
      <c r="X14" s="308">
        <v>0.0</v>
      </c>
      <c r="Y14" s="308">
        <v>0.0</v>
      </c>
      <c r="Z14" s="308">
        <v>0.0</v>
      </c>
      <c r="AA14" s="308">
        <v>0.0</v>
      </c>
      <c r="AB14" s="308">
        <v>0.0</v>
      </c>
      <c r="AC14" s="308">
        <v>0.0</v>
      </c>
      <c r="AD14" s="308">
        <v>0.0</v>
      </c>
      <c r="AE14" s="308">
        <v>0.0</v>
      </c>
      <c r="AF14" s="308">
        <v>0.0</v>
      </c>
      <c r="AG14" s="308">
        <v>0.0</v>
      </c>
      <c r="AH14" s="308">
        <v>0.0</v>
      </c>
      <c r="AI14" s="308">
        <v>0.0</v>
      </c>
      <c r="AJ14" s="308">
        <v>0.0</v>
      </c>
      <c r="AK14" s="308">
        <v>0.0</v>
      </c>
      <c r="AL14" s="308">
        <v>0.0</v>
      </c>
      <c r="AM14" s="308">
        <v>0.0</v>
      </c>
      <c r="AN14" s="308">
        <v>0.0</v>
      </c>
      <c r="AO14" s="308">
        <v>0.0</v>
      </c>
      <c r="AP14" s="308">
        <v>0.0</v>
      </c>
      <c r="AQ14" s="308">
        <v>0.0</v>
      </c>
      <c r="AR14" s="308">
        <v>0.0</v>
      </c>
      <c r="AS14" s="308">
        <v>0.0</v>
      </c>
      <c r="AT14" s="308">
        <v>0.0</v>
      </c>
      <c r="AU14" s="308">
        <v>0.0</v>
      </c>
      <c r="AV14" s="308">
        <v>0.0</v>
      </c>
      <c r="AW14" s="308">
        <v>0.0</v>
      </c>
      <c r="AX14" s="308">
        <v>0.0</v>
      </c>
    </row>
    <row r="15">
      <c r="A15" s="304"/>
      <c r="B15" s="305" t="s">
        <v>540</v>
      </c>
      <c r="C15" s="309">
        <f>Model!E404</f>
        <v>0</v>
      </c>
      <c r="D15" s="309">
        <f>Model!F404</f>
        <v>0</v>
      </c>
      <c r="E15" s="309">
        <f>Model!G404</f>
        <v>0</v>
      </c>
      <c r="F15" s="309">
        <f>Model!H404</f>
        <v>0</v>
      </c>
      <c r="G15" s="309">
        <f>Model!I404</f>
        <v>0</v>
      </c>
      <c r="H15" s="309">
        <f>Model!J404</f>
        <v>0</v>
      </c>
      <c r="I15" s="309">
        <f>Model!K404</f>
        <v>0</v>
      </c>
      <c r="J15" s="309">
        <f>Model!L404</f>
        <v>0</v>
      </c>
      <c r="K15" s="309">
        <f>Model!M404</f>
        <v>0</v>
      </c>
      <c r="L15" s="309">
        <f>Model!N404</f>
        <v>0</v>
      </c>
      <c r="M15" s="309">
        <f>Model!O404</f>
        <v>0</v>
      </c>
      <c r="N15" s="309">
        <f>Model!P404</f>
        <v>0</v>
      </c>
      <c r="O15" s="309">
        <f>Model!Q404</f>
        <v>0</v>
      </c>
      <c r="P15" s="309">
        <f>Model!R404</f>
        <v>0</v>
      </c>
      <c r="Q15" s="309">
        <f>Model!S404</f>
        <v>0</v>
      </c>
      <c r="R15" s="309">
        <f>Model!T404</f>
        <v>0</v>
      </c>
      <c r="S15" s="309">
        <f>Model!U404</f>
        <v>0</v>
      </c>
      <c r="T15" s="309">
        <f>Model!V404</f>
        <v>0</v>
      </c>
      <c r="U15" s="309">
        <f>Model!W404</f>
        <v>0</v>
      </c>
      <c r="V15" s="309">
        <f>Model!X404</f>
        <v>0</v>
      </c>
      <c r="W15" s="309">
        <f>Model!Y404</f>
        <v>0</v>
      </c>
      <c r="X15" s="309">
        <f>Model!Z404</f>
        <v>0</v>
      </c>
      <c r="Y15" s="309">
        <f>Model!AA404</f>
        <v>0</v>
      </c>
      <c r="Z15" s="309">
        <f>Model!AB404</f>
        <v>0</v>
      </c>
      <c r="AA15" s="309">
        <f>Model!AC404</f>
        <v>0</v>
      </c>
      <c r="AB15" s="309">
        <f>Model!AD404</f>
        <v>0</v>
      </c>
      <c r="AC15" s="309">
        <f>Model!AE404</f>
        <v>0</v>
      </c>
      <c r="AD15" s="309">
        <f>Model!AF404</f>
        <v>0</v>
      </c>
      <c r="AE15" s="309">
        <f>Model!AG404</f>
        <v>0</v>
      </c>
      <c r="AF15" s="309">
        <f>Model!AH404</f>
        <v>0</v>
      </c>
      <c r="AG15" s="309">
        <f>Model!AI404</f>
        <v>0</v>
      </c>
      <c r="AH15" s="309">
        <f>Model!AJ404</f>
        <v>0</v>
      </c>
      <c r="AI15" s="309">
        <f>Model!AK404</f>
        <v>0</v>
      </c>
      <c r="AJ15" s="309">
        <f>Model!AL404</f>
        <v>0</v>
      </c>
      <c r="AK15" s="309">
        <f>Model!AM404</f>
        <v>0</v>
      </c>
      <c r="AL15" s="309">
        <f>Model!AN404</f>
        <v>0</v>
      </c>
      <c r="AM15" s="309">
        <f>Model!AO404</f>
        <v>0</v>
      </c>
      <c r="AN15" s="309">
        <f>Model!AP404</f>
        <v>0</v>
      </c>
      <c r="AO15" s="309">
        <f>Model!AQ404</f>
        <v>0</v>
      </c>
      <c r="AP15" s="309">
        <f>Model!AR404</f>
        <v>0</v>
      </c>
      <c r="AQ15" s="309">
        <f>Model!AS404</f>
        <v>0</v>
      </c>
      <c r="AR15" s="309">
        <f>Model!AT404</f>
        <v>0</v>
      </c>
      <c r="AS15" s="309">
        <f>Model!AU404</f>
        <v>0</v>
      </c>
      <c r="AT15" s="309">
        <f>Model!AV404</f>
        <v>0</v>
      </c>
      <c r="AU15" s="309">
        <f>Model!AW404</f>
        <v>0</v>
      </c>
      <c r="AV15" s="309">
        <f>Model!AX404</f>
        <v>0</v>
      </c>
      <c r="AW15" s="309">
        <f>Model!AY404</f>
        <v>0</v>
      </c>
      <c r="AX15" s="309">
        <f>Model!AZ404</f>
        <v>0</v>
      </c>
    </row>
    <row r="16">
      <c r="A16" s="304"/>
      <c r="B16" s="305" t="s">
        <v>541</v>
      </c>
      <c r="C16" s="301">
        <f>Model!E438</f>
        <v>0</v>
      </c>
      <c r="D16" s="301">
        <f>Model!F438</f>
        <v>0</v>
      </c>
      <c r="E16" s="301">
        <f>Model!G438</f>
        <v>0</v>
      </c>
      <c r="F16" s="301">
        <f>Model!H438</f>
        <v>0</v>
      </c>
      <c r="G16" s="301">
        <f>Model!I438</f>
        <v>0</v>
      </c>
      <c r="H16" s="301">
        <f>Model!J438</f>
        <v>0</v>
      </c>
      <c r="I16" s="301">
        <f>Model!K438</f>
        <v>0</v>
      </c>
      <c r="J16" s="301">
        <f>Model!L438</f>
        <v>0</v>
      </c>
      <c r="K16" s="301">
        <f>Model!M438</f>
        <v>0</v>
      </c>
      <c r="L16" s="301">
        <f>Model!N438</f>
        <v>0</v>
      </c>
      <c r="M16" s="301">
        <f>Model!O438</f>
        <v>0</v>
      </c>
      <c r="N16" s="301">
        <f>Model!P438</f>
        <v>0</v>
      </c>
      <c r="O16" s="301">
        <f>Model!Q438</f>
        <v>0</v>
      </c>
      <c r="P16" s="301">
        <f>Model!R438</f>
        <v>0</v>
      </c>
      <c r="Q16" s="301">
        <f>Model!S438</f>
        <v>0</v>
      </c>
      <c r="R16" s="301">
        <f>Model!T438</f>
        <v>0</v>
      </c>
      <c r="S16" s="301">
        <f>Model!U438</f>
        <v>0</v>
      </c>
      <c r="T16" s="301">
        <f>Model!V438</f>
        <v>0</v>
      </c>
      <c r="U16" s="301">
        <f>Model!W438</f>
        <v>0</v>
      </c>
      <c r="V16" s="301">
        <f>Model!X438</f>
        <v>0</v>
      </c>
      <c r="W16" s="301">
        <f>Model!Y438</f>
        <v>0</v>
      </c>
      <c r="X16" s="301">
        <f>Model!Z438</f>
        <v>0</v>
      </c>
      <c r="Y16" s="301">
        <f>Model!AA438</f>
        <v>0</v>
      </c>
      <c r="Z16" s="301">
        <f>Model!AB438</f>
        <v>0</v>
      </c>
      <c r="AA16" s="301">
        <f>Model!AC438</f>
        <v>0</v>
      </c>
      <c r="AB16" s="301">
        <f>Model!AD438</f>
        <v>0</v>
      </c>
      <c r="AC16" s="301">
        <f>Model!AE438</f>
        <v>0</v>
      </c>
      <c r="AD16" s="301">
        <f>Model!AF438</f>
        <v>0</v>
      </c>
      <c r="AE16" s="301">
        <f>Model!AG438</f>
        <v>0</v>
      </c>
      <c r="AF16" s="301">
        <f>Model!AH438</f>
        <v>0</v>
      </c>
      <c r="AG16" s="301">
        <f>Model!AI438</f>
        <v>0</v>
      </c>
      <c r="AH16" s="301">
        <f>Model!AJ438</f>
        <v>0</v>
      </c>
      <c r="AI16" s="301">
        <f>Model!AK438</f>
        <v>0</v>
      </c>
      <c r="AJ16" s="301">
        <f>Model!AL438</f>
        <v>0</v>
      </c>
      <c r="AK16" s="301">
        <f>Model!AM438</f>
        <v>0</v>
      </c>
      <c r="AL16" s="301">
        <f>Model!AN438</f>
        <v>0</v>
      </c>
      <c r="AM16" s="301">
        <f>Model!AO438</f>
        <v>0</v>
      </c>
      <c r="AN16" s="301">
        <f>Model!AP438</f>
        <v>0</v>
      </c>
      <c r="AO16" s="301">
        <f>Model!AQ438</f>
        <v>0</v>
      </c>
      <c r="AP16" s="301">
        <f>Model!AR438</f>
        <v>0</v>
      </c>
      <c r="AQ16" s="301">
        <f>Model!AS438</f>
        <v>0</v>
      </c>
      <c r="AR16" s="301">
        <f>Model!AT438</f>
        <v>0</v>
      </c>
      <c r="AS16" s="301">
        <f>Model!AU438</f>
        <v>0</v>
      </c>
      <c r="AT16" s="301">
        <f>Model!AV438</f>
        <v>0</v>
      </c>
      <c r="AU16" s="301">
        <f>Model!AW438</f>
        <v>0</v>
      </c>
      <c r="AV16" s="301">
        <f>Model!AX438</f>
        <v>0</v>
      </c>
      <c r="AW16" s="301">
        <f>Model!AY438</f>
        <v>0</v>
      </c>
      <c r="AX16" s="301">
        <f>Model!AZ438</f>
        <v>0</v>
      </c>
    </row>
    <row r="17">
      <c r="A17" s="304"/>
      <c r="B17" s="305" t="s">
        <v>542</v>
      </c>
      <c r="C17" s="301">
        <f>Model!E482</f>
        <v>21.12903138</v>
      </c>
      <c r="D17" s="301">
        <f>Model!F482</f>
        <v>42.25806276</v>
      </c>
      <c r="E17" s="301">
        <f>Model!G482</f>
        <v>63.38709414</v>
      </c>
      <c r="F17" s="301">
        <f>Model!H482</f>
        <v>84.51612552</v>
      </c>
      <c r="G17" s="301">
        <f>Model!I482</f>
        <v>105.6451569</v>
      </c>
      <c r="H17" s="301">
        <f>Model!J482</f>
        <v>126.7741883</v>
      </c>
      <c r="I17" s="301">
        <f>Model!K482</f>
        <v>147.9032197</v>
      </c>
      <c r="J17" s="301">
        <f>Model!L482</f>
        <v>169.032251</v>
      </c>
      <c r="K17" s="301">
        <f>Model!M482</f>
        <v>190.1612824</v>
      </c>
      <c r="L17" s="301">
        <f>Model!N482</f>
        <v>211.2903138</v>
      </c>
      <c r="M17" s="301">
        <f>Model!O482</f>
        <v>232.4193452</v>
      </c>
      <c r="N17" s="301">
        <f>Model!P482</f>
        <v>253.5483765</v>
      </c>
      <c r="O17" s="301">
        <f>Model!Q482</f>
        <v>274.6774079</v>
      </c>
      <c r="P17" s="301">
        <f>Model!R482</f>
        <v>295.8064393</v>
      </c>
      <c r="Q17" s="301">
        <f>Model!S482</f>
        <v>316.9354707</v>
      </c>
      <c r="R17" s="301">
        <f>Model!T482</f>
        <v>338.0645021</v>
      </c>
      <c r="S17" s="301">
        <f>Model!U482</f>
        <v>359.1935334</v>
      </c>
      <c r="T17" s="301">
        <f>Model!V482</f>
        <v>380.3225648</v>
      </c>
      <c r="U17" s="301">
        <f>Model!W482</f>
        <v>401.4515962</v>
      </c>
      <c r="V17" s="301">
        <f>Model!X482</f>
        <v>422.5806276</v>
      </c>
      <c r="W17" s="301">
        <f>Model!Y482</f>
        <v>443.709659</v>
      </c>
      <c r="X17" s="301">
        <f>Model!Z482</f>
        <v>464.8386903</v>
      </c>
      <c r="Y17" s="301">
        <f>Model!AA482</f>
        <v>485.9677217</v>
      </c>
      <c r="Z17" s="301">
        <f>Model!AB482</f>
        <v>507.0967531</v>
      </c>
      <c r="AA17" s="301">
        <f>Model!AC482</f>
        <v>779.0967531</v>
      </c>
      <c r="AB17" s="301">
        <f>Model!AD482</f>
        <v>1051.096753</v>
      </c>
      <c r="AC17" s="301">
        <f>Model!AE482</f>
        <v>1323.096753</v>
      </c>
      <c r="AD17" s="301">
        <f>Model!AF482</f>
        <v>1595.096753</v>
      </c>
      <c r="AE17" s="301">
        <f>Model!AG482</f>
        <v>1867.096753</v>
      </c>
      <c r="AF17" s="301">
        <f>Model!AH482</f>
        <v>2139.096753</v>
      </c>
      <c r="AG17" s="301">
        <f>Model!AI482</f>
        <v>2411.096753</v>
      </c>
      <c r="AH17" s="301">
        <f>Model!AJ482</f>
        <v>2683.096753</v>
      </c>
      <c r="AI17" s="301">
        <f>Model!AK482</f>
        <v>2955.096753</v>
      </c>
      <c r="AJ17" s="301">
        <f>Model!AL482</f>
        <v>3227.096753</v>
      </c>
      <c r="AK17" s="301">
        <f>Model!AM482</f>
        <v>3499.096753</v>
      </c>
      <c r="AL17" s="301">
        <f>Model!AN482</f>
        <v>3771.096753</v>
      </c>
      <c r="AM17" s="301">
        <f>Model!AO482</f>
        <v>4043.096753</v>
      </c>
      <c r="AN17" s="301">
        <f>Model!AP482</f>
        <v>4315.096753</v>
      </c>
      <c r="AO17" s="301">
        <f>Model!AQ482</f>
        <v>4587.096753</v>
      </c>
      <c r="AP17" s="301">
        <f>Model!AR482</f>
        <v>4859.096753</v>
      </c>
      <c r="AQ17" s="301">
        <f>Model!AS482</f>
        <v>5131.096753</v>
      </c>
      <c r="AR17" s="301">
        <f>Model!AT482</f>
        <v>5403.096753</v>
      </c>
      <c r="AS17" s="301">
        <f>Model!AU482</f>
        <v>5675.096753</v>
      </c>
      <c r="AT17" s="301">
        <f>Model!AV482</f>
        <v>5947.096753</v>
      </c>
      <c r="AU17" s="301">
        <f>Model!AW482</f>
        <v>6219.096753</v>
      </c>
      <c r="AV17" s="301">
        <f>Model!AX482</f>
        <v>6491.096753</v>
      </c>
      <c r="AW17" s="301">
        <f>Model!AY482</f>
        <v>6763.096753</v>
      </c>
      <c r="AX17" s="301">
        <f>Model!AZ482</f>
        <v>7035.096753</v>
      </c>
    </row>
    <row r="18">
      <c r="A18" s="304"/>
      <c r="B18" s="305" t="s">
        <v>543</v>
      </c>
      <c r="C18" s="301">
        <f>Model!E526</f>
        <v>498.2225562</v>
      </c>
      <c r="D18" s="301">
        <f>Model!F526</f>
        <v>634.1064908</v>
      </c>
      <c r="E18" s="301">
        <f>Model!G526</f>
        <v>791.6525075</v>
      </c>
      <c r="F18" s="301">
        <f>Model!H526</f>
        <v>973.8321627</v>
      </c>
      <c r="G18" s="301">
        <f>Model!I526</f>
        <v>1183.998862</v>
      </c>
      <c r="H18" s="301">
        <f>Model!J526</f>
        <v>1425.935322</v>
      </c>
      <c r="I18" s="301">
        <f>Model!K526</f>
        <v>1703.906831</v>
      </c>
      <c r="J18" s="301">
        <f>Model!L526</f>
        <v>2022.721</v>
      </c>
      <c r="K18" s="301">
        <f>Model!M526</f>
        <v>2387.794786</v>
      </c>
      <c r="L18" s="301">
        <f>Model!N526</f>
        <v>2805.229681</v>
      </c>
      <c r="M18" s="301">
        <f>Model!O526</f>
        <v>3281.896028</v>
      </c>
      <c r="N18" s="301">
        <f>Model!P526</f>
        <v>3825.527588</v>
      </c>
      <c r="O18" s="301">
        <f>Model!Q526</f>
        <v>4444.827563</v>
      </c>
      <c r="P18" s="301">
        <f>Model!R526</f>
        <v>5149.587496</v>
      </c>
      <c r="Q18" s="301">
        <f>Model!S526</f>
        <v>5950.820545</v>
      </c>
      <c r="R18" s="301">
        <f>Model!T526</f>
        <v>6860.910911</v>
      </c>
      <c r="S18" s="301">
        <f>Model!U526</f>
        <v>7893.781324</v>
      </c>
      <c r="T18" s="301">
        <f>Model!V526</f>
        <v>9065.080775</v>
      </c>
      <c r="U18" s="301">
        <f>Model!W526</f>
        <v>10392.39492</v>
      </c>
      <c r="V18" s="301">
        <f>Model!X526</f>
        <v>11895.48188</v>
      </c>
      <c r="W18" s="301">
        <f>Model!Y526</f>
        <v>13596.5365</v>
      </c>
      <c r="X18" s="301">
        <f>Model!Z526</f>
        <v>15520.48641</v>
      </c>
      <c r="Y18" s="301">
        <f>Model!AA526</f>
        <v>17695.32385</v>
      </c>
      <c r="Z18" s="301">
        <f>Model!AB526</f>
        <v>20152.47733</v>
      </c>
      <c r="AA18" s="301">
        <f>Model!AC526</f>
        <v>22927.22817</v>
      </c>
      <c r="AB18" s="301">
        <f>Model!AD526</f>
        <v>26059.17702</v>
      </c>
      <c r="AC18" s="301">
        <f>Model!AE526</f>
        <v>29592.76652</v>
      </c>
      <c r="AD18" s="301">
        <f>Model!AF526</f>
        <v>33577.86683</v>
      </c>
      <c r="AE18" s="301">
        <f>Model!AG526</f>
        <v>38070.43139</v>
      </c>
      <c r="AF18" s="301">
        <f>Model!AH526</f>
        <v>43133.2316</v>
      </c>
      <c r="AG18" s="301">
        <f>Model!AI526</f>
        <v>48836.67945</v>
      </c>
      <c r="AH18" s="301">
        <f>Model!AJ526</f>
        <v>55259.74914</v>
      </c>
      <c r="AI18" s="301">
        <f>Model!AK526</f>
        <v>62491.00902</v>
      </c>
      <c r="AJ18" s="301">
        <f>Model!AL526</f>
        <v>70629.77741</v>
      </c>
      <c r="AK18" s="301">
        <f>Model!AM526</f>
        <v>79787.41688</v>
      </c>
      <c r="AL18" s="301">
        <f>Model!AN526</f>
        <v>90088.78376</v>
      </c>
      <c r="AM18" s="301">
        <f>Model!AO526</f>
        <v>101673.8511</v>
      </c>
      <c r="AN18" s="301">
        <f>Model!AP526</f>
        <v>114699.5263</v>
      </c>
      <c r="AO18" s="301">
        <f>Model!AQ526</f>
        <v>129341.6859</v>
      </c>
      <c r="AP18" s="301">
        <f>Model!AR526</f>
        <v>145797.4546</v>
      </c>
      <c r="AQ18" s="301">
        <f>Model!AS526</f>
        <v>164287.7564</v>
      </c>
      <c r="AR18" s="301">
        <f>Model!AT526</f>
        <v>185060.171</v>
      </c>
      <c r="AS18" s="301">
        <f>Model!AU526</f>
        <v>208392.1327</v>
      </c>
      <c r="AT18" s="301">
        <f>Model!AV526</f>
        <v>234594.5106</v>
      </c>
      <c r="AU18" s="301">
        <f>Model!AW526</f>
        <v>264015.6178</v>
      </c>
      <c r="AV18" s="301">
        <f>Model!AX526</f>
        <v>297045.6994</v>
      </c>
      <c r="AW18" s="301">
        <f>Model!AY526</f>
        <v>334121.957</v>
      </c>
      <c r="AX18" s="301">
        <f>Model!AZ526</f>
        <v>375734.174</v>
      </c>
    </row>
    <row r="19">
      <c r="A19" s="304"/>
      <c r="B19" s="305" t="s">
        <v>544</v>
      </c>
      <c r="C19" s="310">
        <f>Model!E560</f>
        <v>122.76435</v>
      </c>
      <c r="D19" s="310">
        <f>Model!F560</f>
        <v>203.4282884</v>
      </c>
      <c r="E19" s="310">
        <f>Model!G560</f>
        <v>299.3248196</v>
      </c>
      <c r="F19" s="310">
        <f>Model!H560</f>
        <v>412.5070826</v>
      </c>
      <c r="G19" s="310">
        <f>Model!I560</f>
        <v>545.2731563</v>
      </c>
      <c r="H19" s="310">
        <f>Model!J560</f>
        <v>700.1935609</v>
      </c>
      <c r="I19" s="310">
        <f>Model!K560</f>
        <v>880.1417418</v>
      </c>
      <c r="J19" s="310">
        <f>Model!L560</f>
        <v>1088.327853</v>
      </c>
      <c r="K19" s="310">
        <f>Model!M560</f>
        <v>1328.336189</v>
      </c>
      <c r="L19" s="310">
        <f>Model!N560</f>
        <v>1604.166653</v>
      </c>
      <c r="M19" s="310">
        <f>Model!O560</f>
        <v>1920.280689</v>
      </c>
      <c r="N19" s="310">
        <f>Model!P560</f>
        <v>2281.652141</v>
      </c>
      <c r="O19" s="310">
        <f>Model!Q560</f>
        <v>2693.823578</v>
      </c>
      <c r="P19" s="310">
        <f>Model!R560</f>
        <v>3162.968636</v>
      </c>
      <c r="Q19" s="310">
        <f>Model!S560</f>
        <v>3695.961031</v>
      </c>
      <c r="R19" s="310">
        <f>Model!T560</f>
        <v>4300.450939</v>
      </c>
      <c r="S19" s="310">
        <f>Model!U560</f>
        <v>4984.949505</v>
      </c>
      <c r="T19" s="310">
        <f>Model!V560</f>
        <v>5758.922357</v>
      </c>
      <c r="U19" s="310">
        <f>Model!W560</f>
        <v>6632.893049</v>
      </c>
      <c r="V19" s="310">
        <f>Model!X560</f>
        <v>7618.55748</v>
      </c>
      <c r="W19" s="310">
        <f>Model!Y560</f>
        <v>8728.910446</v>
      </c>
      <c r="X19" s="310">
        <f>Model!Z560</f>
        <v>9978.385584</v>
      </c>
      <c r="Y19" s="310">
        <f>Model!AA560</f>
        <v>11383.01011</v>
      </c>
      <c r="Z19" s="310">
        <f>Model!AB560</f>
        <v>12960.57588</v>
      </c>
      <c r="AA19" s="310">
        <f>Model!AC560</f>
        <v>14730.82855</v>
      </c>
      <c r="AB19" s="310">
        <f>Model!AD560</f>
        <v>16715.67659</v>
      </c>
      <c r="AC19" s="310">
        <f>Model!AE560</f>
        <v>18939.42236</v>
      </c>
      <c r="AD19" s="310">
        <f>Model!AF560</f>
        <v>21429.01741</v>
      </c>
      <c r="AE19" s="310">
        <f>Model!AG560</f>
        <v>24214.3447</v>
      </c>
      <c r="AF19" s="310">
        <f>Model!AH560</f>
        <v>27328.53037</v>
      </c>
      <c r="AG19" s="310">
        <f>Model!AI560</f>
        <v>30808.28814</v>
      </c>
      <c r="AH19" s="310">
        <f>Model!AJ560</f>
        <v>34694.29992</v>
      </c>
      <c r="AI19" s="310">
        <f>Model!AK560</f>
        <v>39031.63614</v>
      </c>
      <c r="AJ19" s="310">
        <f>Model!AL560</f>
        <v>43870.2201</v>
      </c>
      <c r="AK19" s="310">
        <f>Model!AM560</f>
        <v>49265.34077</v>
      </c>
      <c r="AL19" s="310">
        <f>Model!AN560</f>
        <v>55278.21919</v>
      </c>
      <c r="AM19" s="310">
        <f>Model!AO560</f>
        <v>61976.63393</v>
      </c>
      <c r="AN19" s="310">
        <f>Model!AP560</f>
        <v>69435.61175</v>
      </c>
      <c r="AO19" s="310">
        <f>Model!AQ560</f>
        <v>77738.19017</v>
      </c>
      <c r="AP19" s="310">
        <f>Model!AR560</f>
        <v>86976.25951</v>
      </c>
      <c r="AQ19" s="310">
        <f>Model!AS560</f>
        <v>97251.49238</v>
      </c>
      <c r="AR19" s="310">
        <f>Model!AT560</f>
        <v>108676.37</v>
      </c>
      <c r="AS19" s="310">
        <f>Model!AU560</f>
        <v>121375.3148</v>
      </c>
      <c r="AT19" s="310">
        <f>Model!AV560</f>
        <v>135485.9411</v>
      </c>
      <c r="AU19" s="310">
        <f>Model!AW560</f>
        <v>151160.4353</v>
      </c>
      <c r="AV19" s="310">
        <f>Model!AX560</f>
        <v>168567.0789</v>
      </c>
      <c r="AW19" s="310">
        <f>Model!AY560</f>
        <v>187891.9298</v>
      </c>
      <c r="AX19" s="310">
        <f>Model!AZ560</f>
        <v>209340.6779</v>
      </c>
    </row>
    <row r="20">
      <c r="A20" s="304"/>
      <c r="B20" s="305" t="s">
        <v>545</v>
      </c>
      <c r="C20" s="310">
        <f>Model!E601</f>
        <v>-1553.605248</v>
      </c>
      <c r="D20" s="310">
        <f>Model!F601</f>
        <v>-1553.605248</v>
      </c>
      <c r="E20" s="310">
        <f>Model!G601</f>
        <v>-1553.605248</v>
      </c>
      <c r="F20" s="310">
        <f>Model!H601</f>
        <v>-1553.605248</v>
      </c>
      <c r="G20" s="310">
        <f>Model!I601</f>
        <v>-1553.605248</v>
      </c>
      <c r="H20" s="310">
        <f>Model!J601</f>
        <v>-1553.605248</v>
      </c>
      <c r="I20" s="310">
        <f>Model!K601</f>
        <v>-1553.605248</v>
      </c>
      <c r="J20" s="310">
        <f>Model!L601</f>
        <v>-1553.605248</v>
      </c>
      <c r="K20" s="310">
        <f>Model!M601</f>
        <v>-1553.605248</v>
      </c>
      <c r="L20" s="310">
        <f>Model!N601</f>
        <v>-1553.605248</v>
      </c>
      <c r="M20" s="310">
        <f>Model!O601</f>
        <v>-1553.605248</v>
      </c>
      <c r="N20" s="310">
        <f>Model!P601</f>
        <v>-1553.605248</v>
      </c>
      <c r="O20" s="310">
        <f>Model!Q601</f>
        <v>-1553.605248</v>
      </c>
      <c r="P20" s="310">
        <f>Model!R601</f>
        <v>-1553.605248</v>
      </c>
      <c r="Q20" s="310">
        <f>Model!S601</f>
        <v>-1553.605248</v>
      </c>
      <c r="R20" s="310">
        <f>Model!T601</f>
        <v>-1553.605248</v>
      </c>
      <c r="S20" s="310">
        <f>Model!U601</f>
        <v>-1553.605248</v>
      </c>
      <c r="T20" s="310">
        <f>Model!V601</f>
        <v>-1553.605248</v>
      </c>
      <c r="U20" s="310">
        <f>Model!W601</f>
        <v>-1553.605248</v>
      </c>
      <c r="V20" s="310">
        <f>Model!X601</f>
        <v>-1553.605248</v>
      </c>
      <c r="W20" s="310">
        <f>Model!Y601</f>
        <v>-1553.605248</v>
      </c>
      <c r="X20" s="310">
        <f>Model!Z601</f>
        <v>-1553.605248</v>
      </c>
      <c r="Y20" s="310">
        <f>Model!AA601</f>
        <v>-1553.605248</v>
      </c>
      <c r="Z20" s="310">
        <f>Model!AB601</f>
        <v>-1553.605248</v>
      </c>
      <c r="AA20" s="310">
        <f>Model!AC601</f>
        <v>-1553.605248</v>
      </c>
      <c r="AB20" s="310">
        <f>Model!AD601</f>
        <v>-1553.605248</v>
      </c>
      <c r="AC20" s="310">
        <f>Model!AE601</f>
        <v>-1553.605248</v>
      </c>
      <c r="AD20" s="310">
        <f>Model!AF601</f>
        <v>-1553.605248</v>
      </c>
      <c r="AE20" s="310">
        <f>Model!AG601</f>
        <v>-1553.605248</v>
      </c>
      <c r="AF20" s="310">
        <f>Model!AH601</f>
        <v>-1553.605248</v>
      </c>
      <c r="AG20" s="310">
        <f>Model!AI601</f>
        <v>-1553.605248</v>
      </c>
      <c r="AH20" s="310">
        <f>Model!AJ601</f>
        <v>-1553.605248</v>
      </c>
      <c r="AI20" s="310">
        <f>Model!AK601</f>
        <v>-1553.605248</v>
      </c>
      <c r="AJ20" s="310">
        <f>Model!AL601</f>
        <v>-1553.605248</v>
      </c>
      <c r="AK20" s="310">
        <f>Model!AM601</f>
        <v>-1553.605248</v>
      </c>
      <c r="AL20" s="310">
        <f>Model!AN601</f>
        <v>-1553.605248</v>
      </c>
      <c r="AM20" s="310">
        <f>Model!AO601</f>
        <v>-1553.605248</v>
      </c>
      <c r="AN20" s="310">
        <f>Model!AP601</f>
        <v>-1553.605248</v>
      </c>
      <c r="AO20" s="310">
        <f>Model!AQ601</f>
        <v>-1553.605248</v>
      </c>
      <c r="AP20" s="310">
        <f>Model!AR601</f>
        <v>-1553.605248</v>
      </c>
      <c r="AQ20" s="310">
        <f>Model!AS601</f>
        <v>-1553.605248</v>
      </c>
      <c r="AR20" s="310">
        <f>Model!AT601</f>
        <v>-1553.605248</v>
      </c>
      <c r="AS20" s="310">
        <f>Model!AU601</f>
        <v>-1553.605248</v>
      </c>
      <c r="AT20" s="310">
        <f>Model!AV601</f>
        <v>-1553.605248</v>
      </c>
      <c r="AU20" s="310">
        <f>Model!AW601</f>
        <v>-1553.605248</v>
      </c>
      <c r="AV20" s="310">
        <f>Model!AX601</f>
        <v>-1553.605248</v>
      </c>
      <c r="AW20" s="310">
        <f>Model!AY601</f>
        <v>-1553.605248</v>
      </c>
      <c r="AX20" s="310">
        <f>Model!AZ601</f>
        <v>-1553.605248</v>
      </c>
    </row>
    <row r="21">
      <c r="A21" s="304"/>
      <c r="B21" s="307" t="s">
        <v>546</v>
      </c>
      <c r="C21" s="308">
        <f t="shared" ref="C21:AX21" si="4">sum(C16:C19)</f>
        <v>642.1159375</v>
      </c>
      <c r="D21" s="308">
        <f t="shared" si="4"/>
        <v>879.792842</v>
      </c>
      <c r="E21" s="308">
        <f t="shared" si="4"/>
        <v>1154.364421</v>
      </c>
      <c r="F21" s="308">
        <f t="shared" si="4"/>
        <v>1470.855371</v>
      </c>
      <c r="G21" s="308">
        <f t="shared" si="4"/>
        <v>1834.917175</v>
      </c>
      <c r="H21" s="308">
        <f t="shared" si="4"/>
        <v>2252.903071</v>
      </c>
      <c r="I21" s="308">
        <f t="shared" si="4"/>
        <v>2731.951793</v>
      </c>
      <c r="J21" s="308">
        <f t="shared" si="4"/>
        <v>3280.081104</v>
      </c>
      <c r="K21" s="308">
        <f t="shared" si="4"/>
        <v>3906.292257</v>
      </c>
      <c r="L21" s="308">
        <f t="shared" si="4"/>
        <v>4620.686648</v>
      </c>
      <c r="M21" s="308">
        <f t="shared" si="4"/>
        <v>5434.596062</v>
      </c>
      <c r="N21" s="308">
        <f t="shared" si="4"/>
        <v>6360.728106</v>
      </c>
      <c r="O21" s="308">
        <f t="shared" si="4"/>
        <v>7413.32855</v>
      </c>
      <c r="P21" s="308">
        <f t="shared" si="4"/>
        <v>8608.362571</v>
      </c>
      <c r="Q21" s="308">
        <f t="shared" si="4"/>
        <v>9963.717047</v>
      </c>
      <c r="R21" s="308">
        <f t="shared" si="4"/>
        <v>11499.42635</v>
      </c>
      <c r="S21" s="308">
        <f t="shared" si="4"/>
        <v>13237.92436</v>
      </c>
      <c r="T21" s="308">
        <f t="shared" si="4"/>
        <v>15204.3257</v>
      </c>
      <c r="U21" s="308">
        <f t="shared" si="4"/>
        <v>17426.73957</v>
      </c>
      <c r="V21" s="308">
        <f t="shared" si="4"/>
        <v>19936.61999</v>
      </c>
      <c r="W21" s="308">
        <f t="shared" si="4"/>
        <v>22769.15661</v>
      </c>
      <c r="X21" s="308">
        <f t="shared" si="4"/>
        <v>25963.71069</v>
      </c>
      <c r="Y21" s="308">
        <f t="shared" si="4"/>
        <v>29564.30168</v>
      </c>
      <c r="Z21" s="308">
        <f t="shared" si="4"/>
        <v>33620.14997</v>
      </c>
      <c r="AA21" s="308">
        <f t="shared" si="4"/>
        <v>38437.15348</v>
      </c>
      <c r="AB21" s="308">
        <f t="shared" si="4"/>
        <v>43825.95037</v>
      </c>
      <c r="AC21" s="308">
        <f t="shared" si="4"/>
        <v>49855.28563</v>
      </c>
      <c r="AD21" s="308">
        <f t="shared" si="4"/>
        <v>56601.98098</v>
      </c>
      <c r="AE21" s="308">
        <f t="shared" si="4"/>
        <v>64151.87285</v>
      </c>
      <c r="AF21" s="308">
        <f t="shared" si="4"/>
        <v>72600.85872</v>
      </c>
      <c r="AG21" s="308">
        <f t="shared" si="4"/>
        <v>82056.06434</v>
      </c>
      <c r="AH21" s="308">
        <f t="shared" si="4"/>
        <v>92637.14581</v>
      </c>
      <c r="AI21" s="308">
        <f t="shared" si="4"/>
        <v>104477.7419</v>
      </c>
      <c r="AJ21" s="308">
        <f t="shared" si="4"/>
        <v>117727.0943</v>
      </c>
      <c r="AK21" s="308">
        <f t="shared" si="4"/>
        <v>132551.8544</v>
      </c>
      <c r="AL21" s="308">
        <f t="shared" si="4"/>
        <v>149138.0997</v>
      </c>
      <c r="AM21" s="308">
        <f t="shared" si="4"/>
        <v>167693.5818</v>
      </c>
      <c r="AN21" s="308">
        <f t="shared" si="4"/>
        <v>188450.2348</v>
      </c>
      <c r="AO21" s="308">
        <f t="shared" si="4"/>
        <v>211666.9729</v>
      </c>
      <c r="AP21" s="308">
        <f t="shared" si="4"/>
        <v>237632.8109</v>
      </c>
      <c r="AQ21" s="308">
        <f t="shared" si="4"/>
        <v>266670.3455</v>
      </c>
      <c r="AR21" s="308">
        <f t="shared" si="4"/>
        <v>299139.6377</v>
      </c>
      <c r="AS21" s="308">
        <f t="shared" si="4"/>
        <v>335442.5443</v>
      </c>
      <c r="AT21" s="308">
        <f t="shared" si="4"/>
        <v>376027.5485</v>
      </c>
      <c r="AU21" s="308">
        <f t="shared" si="4"/>
        <v>421395.1499</v>
      </c>
      <c r="AV21" s="308">
        <f t="shared" si="4"/>
        <v>472103.875</v>
      </c>
      <c r="AW21" s="308">
        <f t="shared" si="4"/>
        <v>528776.9836</v>
      </c>
      <c r="AX21" s="308">
        <f t="shared" si="4"/>
        <v>592109.9487</v>
      </c>
    </row>
    <row r="22">
      <c r="A22" s="304"/>
      <c r="B22" s="307" t="s">
        <v>547</v>
      </c>
      <c r="C22" s="298">
        <f t="shared" ref="C22:AX22" si="5">C8+sum(C14:C20)</f>
        <v>642.1159375</v>
      </c>
      <c r="D22" s="298">
        <f t="shared" si="5"/>
        <v>879.792842</v>
      </c>
      <c r="E22" s="298">
        <f t="shared" si="5"/>
        <v>1154.364421</v>
      </c>
      <c r="F22" s="298">
        <f t="shared" si="5"/>
        <v>1470.855371</v>
      </c>
      <c r="G22" s="298">
        <f t="shared" si="5"/>
        <v>1834.917175</v>
      </c>
      <c r="H22" s="298">
        <f t="shared" si="5"/>
        <v>2252.903071</v>
      </c>
      <c r="I22" s="298">
        <f t="shared" si="5"/>
        <v>2731.951793</v>
      </c>
      <c r="J22" s="298">
        <f t="shared" si="5"/>
        <v>3280.081104</v>
      </c>
      <c r="K22" s="298">
        <f t="shared" si="5"/>
        <v>3906.292257</v>
      </c>
      <c r="L22" s="298">
        <f t="shared" si="5"/>
        <v>4620.686648</v>
      </c>
      <c r="M22" s="298">
        <f t="shared" si="5"/>
        <v>5434.596062</v>
      </c>
      <c r="N22" s="298">
        <f t="shared" si="5"/>
        <v>6360.728106</v>
      </c>
      <c r="O22" s="298">
        <f t="shared" si="5"/>
        <v>7413.32855</v>
      </c>
      <c r="P22" s="298">
        <f t="shared" si="5"/>
        <v>8608.362571</v>
      </c>
      <c r="Q22" s="298">
        <f t="shared" si="5"/>
        <v>9963.717047</v>
      </c>
      <c r="R22" s="298">
        <f t="shared" si="5"/>
        <v>11499.42635</v>
      </c>
      <c r="S22" s="298">
        <f t="shared" si="5"/>
        <v>13237.92436</v>
      </c>
      <c r="T22" s="298">
        <f t="shared" si="5"/>
        <v>15204.3257</v>
      </c>
      <c r="U22" s="298">
        <f t="shared" si="5"/>
        <v>17426.73957</v>
      </c>
      <c r="V22" s="298">
        <f t="shared" si="5"/>
        <v>19936.61999</v>
      </c>
      <c r="W22" s="298">
        <f t="shared" si="5"/>
        <v>22769.15661</v>
      </c>
      <c r="X22" s="298">
        <f t="shared" si="5"/>
        <v>25963.71069</v>
      </c>
      <c r="Y22" s="298">
        <f t="shared" si="5"/>
        <v>29564.30168</v>
      </c>
      <c r="Z22" s="298">
        <f t="shared" si="5"/>
        <v>33620.14997</v>
      </c>
      <c r="AA22" s="298">
        <f t="shared" si="5"/>
        <v>64413.71311</v>
      </c>
      <c r="AB22" s="298">
        <f t="shared" si="5"/>
        <v>77802.51</v>
      </c>
      <c r="AC22" s="298">
        <f t="shared" si="5"/>
        <v>83831.84526</v>
      </c>
      <c r="AD22" s="298">
        <f t="shared" si="5"/>
        <v>90578.54062</v>
      </c>
      <c r="AE22" s="298">
        <f t="shared" si="5"/>
        <v>98128.43249</v>
      </c>
      <c r="AF22" s="298">
        <f t="shared" si="5"/>
        <v>106577.4183</v>
      </c>
      <c r="AG22" s="298">
        <f t="shared" si="5"/>
        <v>116032.624</v>
      </c>
      <c r="AH22" s="298">
        <f t="shared" si="5"/>
        <v>126613.7054</v>
      </c>
      <c r="AI22" s="298">
        <f t="shared" si="5"/>
        <v>138454.3016</v>
      </c>
      <c r="AJ22" s="298">
        <f t="shared" si="5"/>
        <v>151703.6539</v>
      </c>
      <c r="AK22" s="298">
        <f t="shared" si="5"/>
        <v>166528.414</v>
      </c>
      <c r="AL22" s="298">
        <f t="shared" si="5"/>
        <v>248430.0545</v>
      </c>
      <c r="AM22" s="298">
        <f t="shared" si="5"/>
        <v>266985.5366</v>
      </c>
      <c r="AN22" s="298">
        <f t="shared" si="5"/>
        <v>287742.1896</v>
      </c>
      <c r="AO22" s="298">
        <f t="shared" si="5"/>
        <v>310958.9276</v>
      </c>
      <c r="AP22" s="298">
        <f t="shared" si="5"/>
        <v>336924.7656</v>
      </c>
      <c r="AQ22" s="298">
        <f t="shared" si="5"/>
        <v>365962.3003</v>
      </c>
      <c r="AR22" s="298">
        <f t="shared" si="5"/>
        <v>398431.5925</v>
      </c>
      <c r="AS22" s="298">
        <f t="shared" si="5"/>
        <v>434734.499</v>
      </c>
      <c r="AT22" s="298">
        <f t="shared" si="5"/>
        <v>475319.5033</v>
      </c>
      <c r="AU22" s="298">
        <f t="shared" si="5"/>
        <v>520687.1046</v>
      </c>
      <c r="AV22" s="298">
        <f t="shared" si="5"/>
        <v>571395.8298</v>
      </c>
      <c r="AW22" s="298">
        <f t="shared" si="5"/>
        <v>628068.9383</v>
      </c>
      <c r="AX22" s="298">
        <f t="shared" si="5"/>
        <v>691401.9035</v>
      </c>
    </row>
    <row r="23">
      <c r="A23" s="304"/>
      <c r="B23" s="305" t="s">
        <v>548</v>
      </c>
      <c r="C23" s="111" t="s">
        <v>97</v>
      </c>
      <c r="D23" s="111" t="s">
        <v>97</v>
      </c>
      <c r="E23" s="111" t="s">
        <v>97</v>
      </c>
      <c r="F23" s="111" t="s">
        <v>97</v>
      </c>
      <c r="G23" s="111" t="s">
        <v>97</v>
      </c>
      <c r="H23" s="111" t="s">
        <v>97</v>
      </c>
      <c r="I23" s="111" t="s">
        <v>97</v>
      </c>
      <c r="J23" s="111" t="s">
        <v>97</v>
      </c>
      <c r="K23" s="111" t="s">
        <v>97</v>
      </c>
      <c r="L23" s="111" t="s">
        <v>97</v>
      </c>
      <c r="M23" s="111" t="s">
        <v>97</v>
      </c>
      <c r="N23" s="111" t="s">
        <v>97</v>
      </c>
      <c r="O23" s="111" t="s">
        <v>97</v>
      </c>
      <c r="P23" s="111" t="s">
        <v>97</v>
      </c>
      <c r="Q23" s="111" t="s">
        <v>97</v>
      </c>
      <c r="R23" s="111" t="s">
        <v>97</v>
      </c>
      <c r="S23" s="111" t="s">
        <v>97</v>
      </c>
      <c r="T23" s="111" t="s">
        <v>97</v>
      </c>
      <c r="U23" s="111" t="s">
        <v>97</v>
      </c>
      <c r="V23" s="111" t="s">
        <v>97</v>
      </c>
      <c r="W23" s="111" t="s">
        <v>97</v>
      </c>
      <c r="X23" s="111" t="s">
        <v>97</v>
      </c>
      <c r="Y23" s="111" t="s">
        <v>97</v>
      </c>
      <c r="Z23" s="111" t="s">
        <v>97</v>
      </c>
      <c r="AA23" s="111" t="s">
        <v>97</v>
      </c>
      <c r="AB23" s="111" t="s">
        <v>97</v>
      </c>
      <c r="AC23" s="111" t="s">
        <v>97</v>
      </c>
      <c r="AD23" s="111" t="s">
        <v>97</v>
      </c>
      <c r="AE23" s="111" t="s">
        <v>97</v>
      </c>
      <c r="AF23" s="111" t="s">
        <v>97</v>
      </c>
      <c r="AG23" s="111" t="s">
        <v>97</v>
      </c>
      <c r="AH23" s="111" t="s">
        <v>97</v>
      </c>
      <c r="AI23" s="111" t="s">
        <v>97</v>
      </c>
      <c r="AJ23" s="111" t="s">
        <v>97</v>
      </c>
      <c r="AK23" s="111" t="s">
        <v>97</v>
      </c>
      <c r="AL23" s="111" t="s">
        <v>97</v>
      </c>
      <c r="AM23" s="111" t="s">
        <v>97</v>
      </c>
      <c r="AN23" s="111" t="s">
        <v>97</v>
      </c>
      <c r="AO23" s="111" t="s">
        <v>97</v>
      </c>
      <c r="AP23" s="111" t="s">
        <v>97</v>
      </c>
      <c r="AQ23" s="111" t="s">
        <v>97</v>
      </c>
      <c r="AR23" s="111" t="s">
        <v>97</v>
      </c>
      <c r="AS23" s="111" t="s">
        <v>97</v>
      </c>
      <c r="AT23" s="111" t="s">
        <v>97</v>
      </c>
      <c r="AU23" s="111" t="s">
        <v>97</v>
      </c>
      <c r="AV23" s="111" t="s">
        <v>97</v>
      </c>
      <c r="AW23" s="111" t="s">
        <v>97</v>
      </c>
      <c r="AX23" s="111" t="s">
        <v>97</v>
      </c>
    </row>
    <row r="24">
      <c r="A24" s="304"/>
      <c r="B24" s="305" t="s">
        <v>549</v>
      </c>
      <c r="C24" s="111" t="s">
        <v>97</v>
      </c>
      <c r="D24" s="111" t="s">
        <v>97</v>
      </c>
      <c r="E24" s="111" t="s">
        <v>97</v>
      </c>
      <c r="F24" s="111" t="s">
        <v>97</v>
      </c>
      <c r="G24" s="111" t="s">
        <v>97</v>
      </c>
      <c r="H24" s="111" t="s">
        <v>97</v>
      </c>
      <c r="I24" s="111" t="s">
        <v>97</v>
      </c>
      <c r="J24" s="111" t="s">
        <v>97</v>
      </c>
      <c r="K24" s="111" t="s">
        <v>97</v>
      </c>
      <c r="L24" s="111" t="s">
        <v>97</v>
      </c>
      <c r="M24" s="111" t="s">
        <v>97</v>
      </c>
      <c r="N24" s="111" t="s">
        <v>97</v>
      </c>
      <c r="O24" s="111" t="s">
        <v>97</v>
      </c>
      <c r="P24" s="111" t="s">
        <v>97</v>
      </c>
      <c r="Q24" s="111" t="s">
        <v>97</v>
      </c>
      <c r="R24" s="111" t="s">
        <v>97</v>
      </c>
      <c r="S24" s="111" t="s">
        <v>97</v>
      </c>
      <c r="T24" s="111" t="s">
        <v>97</v>
      </c>
      <c r="U24" s="111" t="s">
        <v>97</v>
      </c>
      <c r="V24" s="111" t="s">
        <v>97</v>
      </c>
      <c r="W24" s="111" t="s">
        <v>97</v>
      </c>
      <c r="X24" s="111" t="s">
        <v>97</v>
      </c>
      <c r="Y24" s="111" t="s">
        <v>97</v>
      </c>
      <c r="Z24" s="111" t="s">
        <v>97</v>
      </c>
      <c r="AA24" s="111" t="s">
        <v>97</v>
      </c>
      <c r="AB24" s="111" t="s">
        <v>97</v>
      </c>
      <c r="AC24" s="111" t="s">
        <v>97</v>
      </c>
      <c r="AD24" s="111" t="s">
        <v>97</v>
      </c>
      <c r="AE24" s="111" t="s">
        <v>97</v>
      </c>
      <c r="AF24" s="111" t="s">
        <v>97</v>
      </c>
      <c r="AG24" s="111" t="s">
        <v>97</v>
      </c>
      <c r="AH24" s="111" t="s">
        <v>97</v>
      </c>
      <c r="AI24" s="111" t="s">
        <v>97</v>
      </c>
      <c r="AJ24" s="111" t="s">
        <v>97</v>
      </c>
      <c r="AK24" s="111" t="s">
        <v>97</v>
      </c>
      <c r="AL24" s="111" t="s">
        <v>97</v>
      </c>
      <c r="AM24" s="111" t="s">
        <v>97</v>
      </c>
      <c r="AN24" s="111" t="s">
        <v>97</v>
      </c>
      <c r="AO24" s="111" t="s">
        <v>97</v>
      </c>
      <c r="AP24" s="111" t="s">
        <v>97</v>
      </c>
      <c r="AQ24" s="111" t="s">
        <v>97</v>
      </c>
      <c r="AR24" s="111" t="s">
        <v>97</v>
      </c>
      <c r="AS24" s="111" t="s">
        <v>97</v>
      </c>
      <c r="AT24" s="111" t="s">
        <v>97</v>
      </c>
      <c r="AU24" s="111" t="s">
        <v>97</v>
      </c>
      <c r="AV24" s="111" t="s">
        <v>97</v>
      </c>
      <c r="AW24" s="111" t="s">
        <v>97</v>
      </c>
      <c r="AX24" s="111" t="s">
        <v>97</v>
      </c>
    </row>
    <row r="25">
      <c r="B25" s="30"/>
    </row>
    <row r="26">
      <c r="B26" s="30"/>
    </row>
    <row r="27">
      <c r="B27" s="30"/>
    </row>
    <row r="28">
      <c r="A28" s="9"/>
      <c r="B28" s="311" t="s">
        <v>550</v>
      </c>
    </row>
    <row r="29">
      <c r="B29" s="30"/>
    </row>
    <row r="30">
      <c r="B30" s="30"/>
      <c r="C30" s="295">
        <f t="shared" ref="C30:AX30" si="6">C3</f>
        <v>46143</v>
      </c>
      <c r="D30" s="295">
        <f t="shared" si="6"/>
        <v>46508</v>
      </c>
      <c r="E30" s="295">
        <f t="shared" si="6"/>
        <v>46874</v>
      </c>
      <c r="F30" s="295">
        <f t="shared" si="6"/>
        <v>47239</v>
      </c>
      <c r="G30" s="295">
        <f t="shared" si="6"/>
        <v>47604</v>
      </c>
      <c r="H30" s="295">
        <f t="shared" si="6"/>
        <v>47969</v>
      </c>
      <c r="I30" s="295">
        <f t="shared" si="6"/>
        <v>48335</v>
      </c>
      <c r="J30" s="295">
        <f t="shared" si="6"/>
        <v>48700</v>
      </c>
      <c r="K30" s="295">
        <f t="shared" si="6"/>
        <v>49065</v>
      </c>
      <c r="L30" s="295">
        <f t="shared" si="6"/>
        <v>49430</v>
      </c>
      <c r="M30" s="295">
        <f t="shared" si="6"/>
        <v>49796</v>
      </c>
      <c r="N30" s="295">
        <f t="shared" si="6"/>
        <v>50161</v>
      </c>
      <c r="O30" s="295">
        <f t="shared" si="6"/>
        <v>50526</v>
      </c>
      <c r="P30" s="295">
        <f t="shared" si="6"/>
        <v>50891</v>
      </c>
      <c r="Q30" s="295">
        <f t="shared" si="6"/>
        <v>51257</v>
      </c>
      <c r="R30" s="295">
        <f t="shared" si="6"/>
        <v>51622</v>
      </c>
      <c r="S30" s="295">
        <f t="shared" si="6"/>
        <v>51987</v>
      </c>
      <c r="T30" s="295">
        <f t="shared" si="6"/>
        <v>52352</v>
      </c>
      <c r="U30" s="295">
        <f t="shared" si="6"/>
        <v>52718</v>
      </c>
      <c r="V30" s="295">
        <f t="shared" si="6"/>
        <v>53083</v>
      </c>
      <c r="W30" s="295">
        <f t="shared" si="6"/>
        <v>53448</v>
      </c>
      <c r="X30" s="295">
        <f t="shared" si="6"/>
        <v>53813</v>
      </c>
      <c r="Y30" s="295">
        <f t="shared" si="6"/>
        <v>54179</v>
      </c>
      <c r="Z30" s="295">
        <f t="shared" si="6"/>
        <v>54544</v>
      </c>
      <c r="AA30" s="295">
        <f t="shared" si="6"/>
        <v>54909</v>
      </c>
      <c r="AB30" s="295">
        <f t="shared" si="6"/>
        <v>55274</v>
      </c>
      <c r="AC30" s="295">
        <f t="shared" si="6"/>
        <v>55640</v>
      </c>
      <c r="AD30" s="295">
        <f t="shared" si="6"/>
        <v>56005</v>
      </c>
      <c r="AE30" s="295">
        <f t="shared" si="6"/>
        <v>56370</v>
      </c>
      <c r="AF30" s="295">
        <f t="shared" si="6"/>
        <v>56735</v>
      </c>
      <c r="AG30" s="295">
        <f t="shared" si="6"/>
        <v>57101</v>
      </c>
      <c r="AH30" s="295">
        <f t="shared" si="6"/>
        <v>57466</v>
      </c>
      <c r="AI30" s="295">
        <f t="shared" si="6"/>
        <v>57831</v>
      </c>
      <c r="AJ30" s="295">
        <f t="shared" si="6"/>
        <v>58196</v>
      </c>
      <c r="AK30" s="295">
        <f t="shared" si="6"/>
        <v>58562</v>
      </c>
      <c r="AL30" s="295">
        <f t="shared" si="6"/>
        <v>58927</v>
      </c>
      <c r="AM30" s="295">
        <f t="shared" si="6"/>
        <v>59292</v>
      </c>
      <c r="AN30" s="295">
        <f t="shared" si="6"/>
        <v>59657</v>
      </c>
      <c r="AO30" s="295">
        <f t="shared" si="6"/>
        <v>60023</v>
      </c>
      <c r="AP30" s="295">
        <f t="shared" si="6"/>
        <v>60388</v>
      </c>
      <c r="AQ30" s="295">
        <f t="shared" si="6"/>
        <v>60753</v>
      </c>
      <c r="AR30" s="295">
        <f t="shared" si="6"/>
        <v>61118</v>
      </c>
      <c r="AS30" s="295">
        <f t="shared" si="6"/>
        <v>61484</v>
      </c>
      <c r="AT30" s="295">
        <f t="shared" si="6"/>
        <v>61849</v>
      </c>
      <c r="AU30" s="295">
        <f t="shared" si="6"/>
        <v>62214</v>
      </c>
      <c r="AV30" s="295">
        <f t="shared" si="6"/>
        <v>62579</v>
      </c>
      <c r="AW30" s="295">
        <f t="shared" si="6"/>
        <v>62945</v>
      </c>
      <c r="AX30" s="295">
        <f t="shared" si="6"/>
        <v>63310</v>
      </c>
    </row>
    <row r="31">
      <c r="A31" s="296"/>
      <c r="B31" s="297" t="s">
        <v>551</v>
      </c>
      <c r="C31" s="298">
        <f>Model!E58</f>
        <v>-89181.92327</v>
      </c>
      <c r="D31" s="298">
        <f>Model!F58</f>
        <v>823.0438665</v>
      </c>
      <c r="E31" s="298">
        <f>Model!G58</f>
        <v>92378.29434</v>
      </c>
      <c r="F31" s="298">
        <f>Model!H58</f>
        <v>185576.5014</v>
      </c>
      <c r="G31" s="298">
        <f>Model!I58</f>
        <v>280516.7113</v>
      </c>
      <c r="H31" s="298">
        <f>Model!J58</f>
        <v>377304.7963</v>
      </c>
      <c r="I31" s="298">
        <f>Model!K58</f>
        <v>476053.94</v>
      </c>
      <c r="J31" s="298">
        <f>Model!L58</f>
        <v>576885.1575</v>
      </c>
      <c r="K31" s="298">
        <f>Model!M58</f>
        <v>679927.8525</v>
      </c>
      <c r="L31" s="298">
        <f>Model!N58</f>
        <v>785320.4151</v>
      </c>
      <c r="M31" s="298">
        <f>Model!O58</f>
        <v>893210.861</v>
      </c>
      <c r="N31" s="298">
        <f>Model!P58</f>
        <v>1003757.518</v>
      </c>
      <c r="O31" s="298">
        <f>Model!Q58</f>
        <v>1117129.761</v>
      </c>
      <c r="P31" s="298">
        <f>Model!R58</f>
        <v>1233508.799</v>
      </c>
      <c r="Q31" s="298">
        <f>Model!S58</f>
        <v>1337456.844</v>
      </c>
      <c r="R31" s="298">
        <f>Model!T58</f>
        <v>1433385.46</v>
      </c>
      <c r="S31" s="298">
        <f>Model!U58</f>
        <v>1532546.531</v>
      </c>
      <c r="T31" s="298">
        <f>Model!V58</f>
        <v>1635171.824</v>
      </c>
      <c r="U31" s="298">
        <f>Model!W58</f>
        <v>1741509.724</v>
      </c>
      <c r="V31" s="298">
        <f>Model!X58</f>
        <v>1851826.425</v>
      </c>
      <c r="W31" s="298">
        <f>Model!Y58</f>
        <v>1966407.206</v>
      </c>
      <c r="X31" s="298">
        <f>Model!Z58</f>
        <v>2085557.803</v>
      </c>
      <c r="Y31" s="298">
        <f>Model!AA58</f>
        <v>2209605.872</v>
      </c>
      <c r="Z31" s="298">
        <f>Model!AB58</f>
        <v>2338902.56</v>
      </c>
      <c r="AA31" s="298">
        <f>Model!AC58</f>
        <v>2473824.193</v>
      </c>
      <c r="AB31" s="298">
        <f>Model!AD58</f>
        <v>2614774.082</v>
      </c>
      <c r="AC31" s="298">
        <f>Model!AE58</f>
        <v>2762184.45</v>
      </c>
      <c r="AD31" s="298">
        <f>Model!AF58</f>
        <v>2916518.516</v>
      </c>
      <c r="AE31" s="298">
        <f>Model!AG58</f>
        <v>3078272.707</v>
      </c>
      <c r="AF31" s="298">
        <f>Model!AH58</f>
        <v>3247979.048</v>
      </c>
      <c r="AG31" s="298">
        <f>Model!AI58</f>
        <v>3426207.706</v>
      </c>
      <c r="AH31" s="298">
        <f>Model!AJ58</f>
        <v>3613569.732</v>
      </c>
      <c r="AI31" s="298">
        <f>Model!AK58</f>
        <v>3810719.989</v>
      </c>
      <c r="AJ31" s="298">
        <f>Model!AL58</f>
        <v>4018360.293</v>
      </c>
      <c r="AK31" s="298">
        <f>Model!AM58</f>
        <v>4237242.779</v>
      </c>
      <c r="AL31" s="298">
        <f>Model!AN58</f>
        <v>4468173.514</v>
      </c>
      <c r="AM31" s="298">
        <f>Model!AO58</f>
        <v>4712016.355</v>
      </c>
      <c r="AN31" s="298">
        <f>Model!AP58</f>
        <v>4969697.102</v>
      </c>
      <c r="AO31" s="298">
        <f>Model!AQ58</f>
        <v>5242207.931</v>
      </c>
      <c r="AP31" s="298">
        <f>Model!AR58</f>
        <v>5530612.16</v>
      </c>
      <c r="AQ31" s="298">
        <f>Model!AS58</f>
        <v>5836049.346</v>
      </c>
      <c r="AR31" s="298">
        <f>Model!AT58</f>
        <v>6159740.752</v>
      </c>
      <c r="AS31" s="298">
        <f>Model!AU58</f>
        <v>6502995.204</v>
      </c>
      <c r="AT31" s="298">
        <f>Model!AV58</f>
        <v>6867215.374</v>
      </c>
      <c r="AU31" s="298">
        <f>Model!AW58</f>
        <v>7253904.504</v>
      </c>
      <c r="AV31" s="298">
        <f>Model!AX58</f>
        <v>7664673.618</v>
      </c>
      <c r="AW31" s="298">
        <f>Model!AY58</f>
        <v>8101249.25</v>
      </c>
      <c r="AX31" s="298">
        <f>Model!AZ58</f>
        <v>8565481.729</v>
      </c>
    </row>
    <row r="32">
      <c r="A32" s="299"/>
      <c r="B32" s="300" t="str">
        <f>Model!B119</f>
        <v>Meet Financial Goal: Purchasing NE London Property</v>
      </c>
      <c r="C32" s="312">
        <f>Model!E153</f>
        <v>-22959.2576</v>
      </c>
      <c r="D32" s="312">
        <f>Model!F153</f>
        <v>-18891.0704</v>
      </c>
      <c r="E32" s="312">
        <f>Model!G153</f>
        <v>-13733.25106</v>
      </c>
      <c r="F32" s="312">
        <f>Model!H153</f>
        <v>-7445.59808</v>
      </c>
      <c r="G32" s="312">
        <f>Model!I153</f>
        <v>13.60014325</v>
      </c>
      <c r="H32" s="312">
        <f>Model!J153</f>
        <v>8687.623103</v>
      </c>
      <c r="I32" s="312">
        <f>Model!K153</f>
        <v>18621.37819</v>
      </c>
      <c r="J32" s="312">
        <f>Model!L153</f>
        <v>29861.46304</v>
      </c>
      <c r="K32" s="312">
        <f>Model!M153</f>
        <v>42456.23035</v>
      </c>
      <c r="L32" s="312">
        <f>Model!N153</f>
        <v>56455.85512</v>
      </c>
      <c r="M32" s="312">
        <f>Model!O153</f>
        <v>71912.40468</v>
      </c>
      <c r="N32" s="312">
        <f>Model!P153</f>
        <v>88879.91129</v>
      </c>
      <c r="O32" s="312">
        <f>Model!Q153</f>
        <v>107414.4477</v>
      </c>
      <c r="P32" s="312">
        <f>Model!R153</f>
        <v>127574.2055</v>
      </c>
      <c r="Q32" s="312">
        <f>Model!S153</f>
        <v>149419.577</v>
      </c>
      <c r="R32" s="312">
        <f>Model!T153</f>
        <v>173013.2393</v>
      </c>
      <c r="S32" s="312">
        <f>Model!U153</f>
        <v>198420.2432</v>
      </c>
      <c r="T32" s="312">
        <f>Model!V153</f>
        <v>225708.1038</v>
      </c>
      <c r="U32" s="312">
        <f>Model!W153</f>
        <v>254946.8964</v>
      </c>
      <c r="V32" s="312">
        <f>Model!X153</f>
        <v>286209.3547</v>
      </c>
      <c r="W32" s="312">
        <f>Model!Y153</f>
        <v>319570.9737</v>
      </c>
      <c r="X32" s="312">
        <f>Model!Z153</f>
        <v>355110.1168</v>
      </c>
      <c r="Y32" s="312">
        <f>Model!AA153</f>
        <v>392908.1262</v>
      </c>
      <c r="Z32" s="312">
        <f>Model!AB153</f>
        <v>433049.4384</v>
      </c>
      <c r="AA32" s="312">
        <f>Model!AC153</f>
        <v>501598.2637</v>
      </c>
      <c r="AB32" s="312">
        <f>Model!AD153</f>
        <v>546181.6681</v>
      </c>
      <c r="AC32" s="312">
        <f>Model!AE153</f>
        <v>592236.3249</v>
      </c>
      <c r="AD32" s="312">
        <f>Model!AF153</f>
        <v>639810.7853</v>
      </c>
      <c r="AE32" s="312">
        <f>Model!AG153</f>
        <v>688955.2029</v>
      </c>
      <c r="AF32" s="312">
        <f>Model!AH153</f>
        <v>739721.3863</v>
      </c>
      <c r="AG32" s="312">
        <f>Model!AI153</f>
        <v>792162.8537</v>
      </c>
      <c r="AH32" s="312">
        <f>Model!AJ153</f>
        <v>846334.8896</v>
      </c>
      <c r="AI32" s="312">
        <f>Model!AK153</f>
        <v>902294.6027</v>
      </c>
      <c r="AJ32" s="312">
        <f>Model!AL153</f>
        <v>960100.9862</v>
      </c>
      <c r="AK32" s="312">
        <f>Model!AM153</f>
        <v>1019814.98</v>
      </c>
      <c r="AL32" s="312">
        <f>Model!AN153</f>
        <v>1081499.537</v>
      </c>
      <c r="AM32" s="312">
        <f>Model!AO153</f>
        <v>1145219.683</v>
      </c>
      <c r="AN32" s="312">
        <f>Model!AP153</f>
        <v>1211042.594</v>
      </c>
      <c r="AO32" s="312">
        <f>Model!AQ153</f>
        <v>1279037.661</v>
      </c>
      <c r="AP32" s="312">
        <f>Model!AR153</f>
        <v>1349276.566</v>
      </c>
      <c r="AQ32" s="312">
        <f>Model!AS153</f>
        <v>1421833.354</v>
      </c>
      <c r="AR32" s="312">
        <f>Model!AT153</f>
        <v>1496784.517</v>
      </c>
      <c r="AS32" s="312">
        <f>Model!AU153</f>
        <v>1574209.068</v>
      </c>
      <c r="AT32" s="312">
        <f>Model!AV153</f>
        <v>1654188.628</v>
      </c>
      <c r="AU32" s="312">
        <f>Model!AW153</f>
        <v>1736807.515</v>
      </c>
      <c r="AV32" s="312">
        <f>Model!AX153</f>
        <v>1822152.825</v>
      </c>
      <c r="AW32" s="312">
        <f>Model!AY153</f>
        <v>1910314.53</v>
      </c>
      <c r="AX32" s="312">
        <f>Model!AZ153</f>
        <v>2001385.571</v>
      </c>
    </row>
    <row r="33">
      <c r="A33" s="299"/>
      <c r="B33" s="300" t="str">
        <f>Model!B167</f>
        <v>Meet Financial Goal: Short Term Expenses</v>
      </c>
      <c r="C33" s="312">
        <f>Model!E191</f>
        <v>-15800</v>
      </c>
      <c r="D33" s="312">
        <f>Model!F191</f>
        <v>-15800</v>
      </c>
      <c r="E33" s="312">
        <f>Model!G191</f>
        <v>-15800</v>
      </c>
      <c r="F33" s="312">
        <f>Model!H191</f>
        <v>-15800</v>
      </c>
      <c r="G33" s="312">
        <f>Model!I191</f>
        <v>-15800</v>
      </c>
      <c r="H33" s="312">
        <f>Model!J191</f>
        <v>-15800</v>
      </c>
      <c r="I33" s="312">
        <f>Model!K191</f>
        <v>-15800</v>
      </c>
      <c r="J33" s="312">
        <f>Model!L191</f>
        <v>-15800</v>
      </c>
      <c r="K33" s="312">
        <f>Model!M191</f>
        <v>-15800</v>
      </c>
      <c r="L33" s="312">
        <f>Model!N191</f>
        <v>-15800</v>
      </c>
      <c r="M33" s="312">
        <f>Model!O191</f>
        <v>-15800</v>
      </c>
      <c r="N33" s="312">
        <f>Model!P191</f>
        <v>-15800</v>
      </c>
      <c r="O33" s="312">
        <f>Model!Q191</f>
        <v>-15800</v>
      </c>
      <c r="P33" s="312">
        <f>Model!R191</f>
        <v>-15800</v>
      </c>
      <c r="Q33" s="312">
        <f>Model!S191</f>
        <v>-15800</v>
      </c>
      <c r="R33" s="312">
        <f>Model!T191</f>
        <v>-15800</v>
      </c>
      <c r="S33" s="312">
        <f>Model!U191</f>
        <v>-15800</v>
      </c>
      <c r="T33" s="312">
        <f>Model!V191</f>
        <v>-15800</v>
      </c>
      <c r="U33" s="312">
        <f>Model!W191</f>
        <v>-15800</v>
      </c>
      <c r="V33" s="312">
        <f>Model!X191</f>
        <v>-15800</v>
      </c>
      <c r="W33" s="312">
        <f>Model!Y191</f>
        <v>-15800</v>
      </c>
      <c r="X33" s="312">
        <f>Model!Z191</f>
        <v>-15800</v>
      </c>
      <c r="Y33" s="312">
        <f>Model!AA191</f>
        <v>-15800</v>
      </c>
      <c r="Z33" s="312">
        <f>Model!AB191</f>
        <v>-15800</v>
      </c>
      <c r="AA33" s="312">
        <f>Model!AC191</f>
        <v>-15800</v>
      </c>
      <c r="AB33" s="312">
        <f>Model!AD191</f>
        <v>-15800</v>
      </c>
      <c r="AC33" s="312">
        <f>Model!AE191</f>
        <v>-15800</v>
      </c>
      <c r="AD33" s="312">
        <f>Model!AF191</f>
        <v>-15800</v>
      </c>
      <c r="AE33" s="312">
        <f>Model!AG191</f>
        <v>-15800</v>
      </c>
      <c r="AF33" s="312">
        <f>Model!AH191</f>
        <v>-15800</v>
      </c>
      <c r="AG33" s="312">
        <f>Model!AI191</f>
        <v>-15800</v>
      </c>
      <c r="AH33" s="312">
        <f>Model!AJ191</f>
        <v>-15800</v>
      </c>
      <c r="AI33" s="312">
        <f>Model!AK191</f>
        <v>-15800</v>
      </c>
      <c r="AJ33" s="312">
        <f>Model!AL191</f>
        <v>-15800</v>
      </c>
      <c r="AK33" s="312">
        <f>Model!AM191</f>
        <v>-15800</v>
      </c>
      <c r="AL33" s="312">
        <f>Model!AN191</f>
        <v>-15800</v>
      </c>
      <c r="AM33" s="312">
        <f>Model!AO191</f>
        <v>-15800</v>
      </c>
      <c r="AN33" s="312">
        <f>Model!AP191</f>
        <v>-15800</v>
      </c>
      <c r="AO33" s="312">
        <f>Model!AQ191</f>
        <v>-15800</v>
      </c>
      <c r="AP33" s="312">
        <f>Model!AR191</f>
        <v>-15800</v>
      </c>
      <c r="AQ33" s="312">
        <f>Model!AS191</f>
        <v>-15800</v>
      </c>
      <c r="AR33" s="312">
        <f>Model!AT191</f>
        <v>-15800</v>
      </c>
      <c r="AS33" s="312">
        <f>Model!AU191</f>
        <v>-15800</v>
      </c>
      <c r="AT33" s="312">
        <f>Model!AV191</f>
        <v>-15800</v>
      </c>
      <c r="AU33" s="312">
        <f>Model!AW191</f>
        <v>-15800</v>
      </c>
      <c r="AV33" s="312">
        <f>Model!AX191</f>
        <v>-15800</v>
      </c>
      <c r="AW33" s="312">
        <f>Model!AY191</f>
        <v>-15800</v>
      </c>
      <c r="AX33" s="312">
        <f>Model!AZ191</f>
        <v>-15800</v>
      </c>
    </row>
    <row r="34">
      <c r="A34" s="302"/>
      <c r="B34" s="300" t="str">
        <f>Model!B204</f>
        <v>Meet Financial Goal: Comfortable Retirement</v>
      </c>
      <c r="C34" s="312">
        <f>Model!E230</f>
        <v>459.4618535</v>
      </c>
      <c r="D34" s="312">
        <f>Model!F230</f>
        <v>16707.56453</v>
      </c>
      <c r="E34" s="312">
        <f>Model!G230</f>
        <v>33443.1103</v>
      </c>
      <c r="F34" s="312">
        <f>Model!H230</f>
        <v>50680.72243</v>
      </c>
      <c r="G34" s="312">
        <f>Model!I230</f>
        <v>68435.46293</v>
      </c>
      <c r="H34" s="312">
        <f>Model!J230</f>
        <v>86722.84564</v>
      </c>
      <c r="I34" s="312">
        <f>Model!K230</f>
        <v>105558.8498</v>
      </c>
      <c r="J34" s="312">
        <f>Model!L230</f>
        <v>124959.9342</v>
      </c>
      <c r="K34" s="312">
        <f>Model!M230</f>
        <v>144943.051</v>
      </c>
      <c r="L34" s="312">
        <f>Model!N230</f>
        <v>165525.6614</v>
      </c>
      <c r="M34" s="312">
        <f>Model!O230</f>
        <v>186725.75</v>
      </c>
      <c r="N34" s="312">
        <f>Model!P230</f>
        <v>208561.8413</v>
      </c>
      <c r="O34" s="312">
        <f>Model!Q230</f>
        <v>231053.0154</v>
      </c>
      <c r="P34" s="312">
        <f>Model!R230</f>
        <v>254218.9247</v>
      </c>
      <c r="Q34" s="312">
        <f>Model!S230</f>
        <v>278079.8113</v>
      </c>
      <c r="R34" s="312">
        <f>Model!T230</f>
        <v>302656.5244</v>
      </c>
      <c r="S34" s="312">
        <f>Model!U230</f>
        <v>327970.539</v>
      </c>
      <c r="T34" s="312">
        <f>Model!V230</f>
        <v>354043.974</v>
      </c>
      <c r="U34" s="312">
        <f>Model!W230</f>
        <v>380899.612</v>
      </c>
      <c r="V34" s="312">
        <f>Model!X230</f>
        <v>408560.9192</v>
      </c>
      <c r="W34" s="312">
        <f>Model!Y230</f>
        <v>437052.0656</v>
      </c>
      <c r="X34" s="312">
        <f>Model!Z230</f>
        <v>466397.9464</v>
      </c>
      <c r="Y34" s="312">
        <f>Model!AA230</f>
        <v>496624.2036</v>
      </c>
      <c r="Z34" s="312">
        <f>Model!AB230</f>
        <v>527757.2486</v>
      </c>
      <c r="AA34" s="312">
        <f>Model!AC230</f>
        <v>559824.2848</v>
      </c>
      <c r="AB34" s="312">
        <f>Model!AD230</f>
        <v>592853.3322</v>
      </c>
      <c r="AC34" s="312">
        <f>Model!AE230</f>
        <v>626873.251</v>
      </c>
      <c r="AD34" s="312">
        <f>Model!AF230</f>
        <v>661913.7674</v>
      </c>
      <c r="AE34" s="312">
        <f>Model!AG230</f>
        <v>698005.4992</v>
      </c>
      <c r="AF34" s="312">
        <f>Model!AH230</f>
        <v>735179.983</v>
      </c>
      <c r="AG34" s="312">
        <f>Model!AI230</f>
        <v>773469.7013</v>
      </c>
      <c r="AH34" s="312">
        <f>Model!AJ230</f>
        <v>812908.1112</v>
      </c>
      <c r="AI34" s="312">
        <f>Model!AK230</f>
        <v>853529.6733</v>
      </c>
      <c r="AJ34" s="312">
        <f>Model!AL230</f>
        <v>895369.8824</v>
      </c>
      <c r="AK34" s="312">
        <f>Model!AM230</f>
        <v>938465.2977</v>
      </c>
      <c r="AL34" s="312">
        <f>Model!AN230</f>
        <v>998168.9705</v>
      </c>
      <c r="AM34" s="312">
        <f>Model!AO230</f>
        <v>976614.0397</v>
      </c>
      <c r="AN34" s="312">
        <f>Model!AP230</f>
        <v>954412.4608</v>
      </c>
      <c r="AO34" s="312">
        <f>Model!AQ230</f>
        <v>931544.8347</v>
      </c>
      <c r="AP34" s="312">
        <f>Model!AR230</f>
        <v>907991.1797</v>
      </c>
      <c r="AQ34" s="312">
        <f>Model!AS230</f>
        <v>883730.9151</v>
      </c>
      <c r="AR34" s="312">
        <f>Model!AT230</f>
        <v>858742.8426</v>
      </c>
      <c r="AS34" s="312">
        <f>Model!AU230</f>
        <v>833005.1278</v>
      </c>
      <c r="AT34" s="312">
        <f>Model!AV230</f>
        <v>806495.2817</v>
      </c>
      <c r="AU34" s="312">
        <f>Model!AW230</f>
        <v>779190.1401</v>
      </c>
      <c r="AV34" s="312">
        <f>Model!AX230</f>
        <v>751065.8443</v>
      </c>
      <c r="AW34" s="312">
        <f>Model!AY230</f>
        <v>722097.8197</v>
      </c>
      <c r="AX34" s="312">
        <f>Model!AZ230</f>
        <v>692260.7542</v>
      </c>
    </row>
    <row r="35">
      <c r="A35" s="302"/>
      <c r="B35" s="303" t="s">
        <v>552</v>
      </c>
      <c r="C35" s="298">
        <f t="shared" ref="C35:AX35" si="7">sum(C31:C34)</f>
        <v>-127481.719</v>
      </c>
      <c r="D35" s="298">
        <f t="shared" si="7"/>
        <v>-17160.462</v>
      </c>
      <c r="E35" s="298">
        <f t="shared" si="7"/>
        <v>96288.15357</v>
      </c>
      <c r="F35" s="298">
        <f t="shared" si="7"/>
        <v>213011.6257</v>
      </c>
      <c r="G35" s="298">
        <f t="shared" si="7"/>
        <v>333165.7744</v>
      </c>
      <c r="H35" s="298">
        <f t="shared" si="7"/>
        <v>456915.2651</v>
      </c>
      <c r="I35" s="298">
        <f t="shared" si="7"/>
        <v>584434.1681</v>
      </c>
      <c r="J35" s="298">
        <f t="shared" si="7"/>
        <v>715906.5547</v>
      </c>
      <c r="K35" s="298">
        <f t="shared" si="7"/>
        <v>851527.1339</v>
      </c>
      <c r="L35" s="298">
        <f t="shared" si="7"/>
        <v>991501.9316</v>
      </c>
      <c r="M35" s="298">
        <f t="shared" si="7"/>
        <v>1136049.016</v>
      </c>
      <c r="N35" s="298">
        <f t="shared" si="7"/>
        <v>1285399.271</v>
      </c>
      <c r="O35" s="298">
        <f t="shared" si="7"/>
        <v>1439797.224</v>
      </c>
      <c r="P35" s="298">
        <f t="shared" si="7"/>
        <v>1599501.93</v>
      </c>
      <c r="Q35" s="298">
        <f t="shared" si="7"/>
        <v>1749156.232</v>
      </c>
      <c r="R35" s="298">
        <f t="shared" si="7"/>
        <v>1893255.223</v>
      </c>
      <c r="S35" s="298">
        <f t="shared" si="7"/>
        <v>2043137.313</v>
      </c>
      <c r="T35" s="298">
        <f t="shared" si="7"/>
        <v>2199123.902</v>
      </c>
      <c r="U35" s="298">
        <f t="shared" si="7"/>
        <v>2361556.232</v>
      </c>
      <c r="V35" s="298">
        <f t="shared" si="7"/>
        <v>2530796.699</v>
      </c>
      <c r="W35" s="298">
        <f t="shared" si="7"/>
        <v>2707230.246</v>
      </c>
      <c r="X35" s="298">
        <f t="shared" si="7"/>
        <v>2891265.867</v>
      </c>
      <c r="Y35" s="298">
        <f t="shared" si="7"/>
        <v>3083338.201</v>
      </c>
      <c r="Z35" s="298">
        <f t="shared" si="7"/>
        <v>3283909.246</v>
      </c>
      <c r="AA35" s="298">
        <f t="shared" si="7"/>
        <v>3519446.742</v>
      </c>
      <c r="AB35" s="298">
        <f t="shared" si="7"/>
        <v>3738009.082</v>
      </c>
      <c r="AC35" s="298">
        <f t="shared" si="7"/>
        <v>3965494.026</v>
      </c>
      <c r="AD35" s="298">
        <f t="shared" si="7"/>
        <v>4202443.069</v>
      </c>
      <c r="AE35" s="298">
        <f t="shared" si="7"/>
        <v>4449433.409</v>
      </c>
      <c r="AF35" s="298">
        <f t="shared" si="7"/>
        <v>4707080.417</v>
      </c>
      <c r="AG35" s="298">
        <f t="shared" si="7"/>
        <v>4976040.261</v>
      </c>
      <c r="AH35" s="298">
        <f t="shared" si="7"/>
        <v>5257012.733</v>
      </c>
      <c r="AI35" s="298">
        <f t="shared" si="7"/>
        <v>5550744.265</v>
      </c>
      <c r="AJ35" s="298">
        <f t="shared" si="7"/>
        <v>5858031.161</v>
      </c>
      <c r="AK35" s="298">
        <f t="shared" si="7"/>
        <v>6179723.058</v>
      </c>
      <c r="AL35" s="298">
        <f t="shared" si="7"/>
        <v>6532042.021</v>
      </c>
      <c r="AM35" s="298">
        <f t="shared" si="7"/>
        <v>6818050.078</v>
      </c>
      <c r="AN35" s="298">
        <f t="shared" si="7"/>
        <v>7119352.157</v>
      </c>
      <c r="AO35" s="298">
        <f t="shared" si="7"/>
        <v>7436990.427</v>
      </c>
      <c r="AP35" s="298">
        <f t="shared" si="7"/>
        <v>7772079.906</v>
      </c>
      <c r="AQ35" s="298">
        <f t="shared" si="7"/>
        <v>8125813.616</v>
      </c>
      <c r="AR35" s="298">
        <f t="shared" si="7"/>
        <v>8499468.111</v>
      </c>
      <c r="AS35" s="298">
        <f t="shared" si="7"/>
        <v>8894409.4</v>
      </c>
      <c r="AT35" s="298">
        <f t="shared" si="7"/>
        <v>9312099.284</v>
      </c>
      <c r="AU35" s="298">
        <f t="shared" si="7"/>
        <v>9754102.159</v>
      </c>
      <c r="AV35" s="298">
        <f t="shared" si="7"/>
        <v>10222092.29</v>
      </c>
      <c r="AW35" s="298">
        <f t="shared" si="7"/>
        <v>10717861.6</v>
      </c>
      <c r="AX35" s="298">
        <f t="shared" si="7"/>
        <v>11243328.05</v>
      </c>
    </row>
    <row r="36">
      <c r="A36" s="304"/>
      <c r="B36" s="305" t="s">
        <v>534</v>
      </c>
      <c r="C36" s="312">
        <f>Model!E267</f>
        <v>2160</v>
      </c>
      <c r="D36" s="312">
        <f>Model!F267</f>
        <v>4363.2</v>
      </c>
      <c r="E36" s="312">
        <f>Model!G267</f>
        <v>6610.464</v>
      </c>
      <c r="F36" s="312">
        <f>Model!H267</f>
        <v>8902.67328</v>
      </c>
      <c r="G36" s="312">
        <f>Model!I267</f>
        <v>11240.72675</v>
      </c>
      <c r="H36" s="312">
        <f>Model!J267</f>
        <v>13625.54128</v>
      </c>
      <c r="I36" s="312">
        <f>Model!K267</f>
        <v>16058.05211</v>
      </c>
      <c r="J36" s="312">
        <f>Model!L267</f>
        <v>18539.21315</v>
      </c>
      <c r="K36" s="312">
        <f>Model!M267</f>
        <v>21069.99741</v>
      </c>
      <c r="L36" s="312">
        <f>Model!N267</f>
        <v>23651.39736</v>
      </c>
      <c r="M36" s="312">
        <f>Model!O267</f>
        <v>26284.42531</v>
      </c>
      <c r="N36" s="312">
        <f>Model!P267</f>
        <v>28970.11381</v>
      </c>
      <c r="O36" s="312">
        <f>Model!Q267</f>
        <v>31709.51609</v>
      </c>
      <c r="P36" s="312">
        <f>Model!R267</f>
        <v>34503.70641</v>
      </c>
      <c r="Q36" s="312">
        <f>Model!S267</f>
        <v>37353.78054</v>
      </c>
      <c r="R36" s="312">
        <f>Model!T267</f>
        <v>40260.85615</v>
      </c>
      <c r="S36" s="312">
        <f>Model!U267</f>
        <v>43226.07327</v>
      </c>
      <c r="T36" s="312">
        <f>Model!V267</f>
        <v>46250.59474</v>
      </c>
      <c r="U36" s="312">
        <f>Model!W267</f>
        <v>49335.60663</v>
      </c>
      <c r="V36" s="312">
        <f>Model!X267</f>
        <v>52482.31877</v>
      </c>
      <c r="W36" s="312">
        <f>Model!Y267</f>
        <v>55691.96514</v>
      </c>
      <c r="X36" s="312">
        <f>Model!Z267</f>
        <v>58965.80444</v>
      </c>
      <c r="Y36" s="312">
        <f>Model!AA267</f>
        <v>62305.12053</v>
      </c>
      <c r="Z36" s="312">
        <f>Model!AB267</f>
        <v>65711.22294</v>
      </c>
      <c r="AA36" s="312">
        <f>Model!AC267</f>
        <v>69185.4474</v>
      </c>
      <c r="AB36" s="312">
        <f>Model!AD267</f>
        <v>72729.15635</v>
      </c>
      <c r="AC36" s="312">
        <f>Model!AE267</f>
        <v>76343.73948</v>
      </c>
      <c r="AD36" s="312">
        <f>Model!AF267</f>
        <v>80030.61427</v>
      </c>
      <c r="AE36" s="312">
        <f>Model!AG267</f>
        <v>83791.22655</v>
      </c>
      <c r="AF36" s="312">
        <f>Model!AH267</f>
        <v>87627.05108</v>
      </c>
      <c r="AG36" s="312">
        <f>Model!AI267</f>
        <v>91539.5921</v>
      </c>
      <c r="AH36" s="312">
        <f>Model!AJ267</f>
        <v>95530.38395</v>
      </c>
      <c r="AI36" s="312">
        <f>Model!AK267</f>
        <v>99600.99163</v>
      </c>
      <c r="AJ36" s="312">
        <f>Model!AL267</f>
        <v>103753.0115</v>
      </c>
      <c r="AK36" s="312">
        <f>Model!AM267</f>
        <v>107988.0717</v>
      </c>
      <c r="AL36" s="312">
        <f>Model!AN267</f>
        <v>112307.8331</v>
      </c>
      <c r="AM36" s="312">
        <f>Model!AO267</f>
        <v>0</v>
      </c>
      <c r="AN36" s="312">
        <f>Model!AP267</f>
        <v>0</v>
      </c>
      <c r="AO36" s="312">
        <f>Model!AQ267</f>
        <v>0</v>
      </c>
      <c r="AP36" s="312">
        <f>Model!AR267</f>
        <v>0</v>
      </c>
      <c r="AQ36" s="312">
        <f>Model!AS267</f>
        <v>0</v>
      </c>
      <c r="AR36" s="312">
        <f>Model!AT267</f>
        <v>0</v>
      </c>
      <c r="AS36" s="312">
        <f>Model!AU267</f>
        <v>0</v>
      </c>
      <c r="AT36" s="312">
        <f>Model!AV267</f>
        <v>0</v>
      </c>
      <c r="AU36" s="312">
        <f>Model!AW267</f>
        <v>0</v>
      </c>
      <c r="AV36" s="312">
        <f>Model!AX267</f>
        <v>0</v>
      </c>
      <c r="AW36" s="312">
        <f>Model!AY267</f>
        <v>0</v>
      </c>
      <c r="AX36" s="312">
        <f>Model!AZ267</f>
        <v>0</v>
      </c>
    </row>
    <row r="37">
      <c r="A37" s="304"/>
      <c r="B37" s="305" t="s">
        <v>535</v>
      </c>
      <c r="C37" s="312">
        <f t="shared" ref="C37:AX37" si="8">0</f>
        <v>0</v>
      </c>
      <c r="D37" s="312">
        <f t="shared" si="8"/>
        <v>0</v>
      </c>
      <c r="E37" s="312">
        <f t="shared" si="8"/>
        <v>0</v>
      </c>
      <c r="F37" s="312">
        <f t="shared" si="8"/>
        <v>0</v>
      </c>
      <c r="G37" s="312">
        <f t="shared" si="8"/>
        <v>0</v>
      </c>
      <c r="H37" s="312">
        <f t="shared" si="8"/>
        <v>0</v>
      </c>
      <c r="I37" s="312">
        <f t="shared" si="8"/>
        <v>0</v>
      </c>
      <c r="J37" s="312">
        <f t="shared" si="8"/>
        <v>0</v>
      </c>
      <c r="K37" s="312">
        <f t="shared" si="8"/>
        <v>0</v>
      </c>
      <c r="L37" s="312">
        <f t="shared" si="8"/>
        <v>0</v>
      </c>
      <c r="M37" s="312">
        <f t="shared" si="8"/>
        <v>0</v>
      </c>
      <c r="N37" s="312">
        <f t="shared" si="8"/>
        <v>0</v>
      </c>
      <c r="O37" s="312">
        <f t="shared" si="8"/>
        <v>0</v>
      </c>
      <c r="P37" s="312">
        <f t="shared" si="8"/>
        <v>0</v>
      </c>
      <c r="Q37" s="312">
        <f t="shared" si="8"/>
        <v>0</v>
      </c>
      <c r="R37" s="312">
        <f t="shared" si="8"/>
        <v>0</v>
      </c>
      <c r="S37" s="312">
        <f t="shared" si="8"/>
        <v>0</v>
      </c>
      <c r="T37" s="312">
        <f t="shared" si="8"/>
        <v>0</v>
      </c>
      <c r="U37" s="312">
        <f t="shared" si="8"/>
        <v>0</v>
      </c>
      <c r="V37" s="312">
        <f t="shared" si="8"/>
        <v>0</v>
      </c>
      <c r="W37" s="312">
        <f t="shared" si="8"/>
        <v>0</v>
      </c>
      <c r="X37" s="312">
        <f t="shared" si="8"/>
        <v>0</v>
      </c>
      <c r="Y37" s="312">
        <f t="shared" si="8"/>
        <v>0</v>
      </c>
      <c r="Z37" s="312">
        <f t="shared" si="8"/>
        <v>0</v>
      </c>
      <c r="AA37" s="312">
        <f t="shared" si="8"/>
        <v>0</v>
      </c>
      <c r="AB37" s="312">
        <f t="shared" si="8"/>
        <v>0</v>
      </c>
      <c r="AC37" s="312">
        <f t="shared" si="8"/>
        <v>0</v>
      </c>
      <c r="AD37" s="312">
        <f t="shared" si="8"/>
        <v>0</v>
      </c>
      <c r="AE37" s="312">
        <f t="shared" si="8"/>
        <v>0</v>
      </c>
      <c r="AF37" s="312">
        <f t="shared" si="8"/>
        <v>0</v>
      </c>
      <c r="AG37" s="312">
        <f t="shared" si="8"/>
        <v>0</v>
      </c>
      <c r="AH37" s="312">
        <f t="shared" si="8"/>
        <v>0</v>
      </c>
      <c r="AI37" s="312">
        <f t="shared" si="8"/>
        <v>0</v>
      </c>
      <c r="AJ37" s="312">
        <f t="shared" si="8"/>
        <v>0</v>
      </c>
      <c r="AK37" s="312">
        <f t="shared" si="8"/>
        <v>0</v>
      </c>
      <c r="AL37" s="312">
        <f t="shared" si="8"/>
        <v>0</v>
      </c>
      <c r="AM37" s="312">
        <f t="shared" si="8"/>
        <v>0</v>
      </c>
      <c r="AN37" s="312">
        <f t="shared" si="8"/>
        <v>0</v>
      </c>
      <c r="AO37" s="312">
        <f t="shared" si="8"/>
        <v>0</v>
      </c>
      <c r="AP37" s="312">
        <f t="shared" si="8"/>
        <v>0</v>
      </c>
      <c r="AQ37" s="312">
        <f t="shared" si="8"/>
        <v>0</v>
      </c>
      <c r="AR37" s="312">
        <f t="shared" si="8"/>
        <v>0</v>
      </c>
      <c r="AS37" s="312">
        <f t="shared" si="8"/>
        <v>0</v>
      </c>
      <c r="AT37" s="312">
        <f t="shared" si="8"/>
        <v>0</v>
      </c>
      <c r="AU37" s="312">
        <f t="shared" si="8"/>
        <v>0</v>
      </c>
      <c r="AV37" s="312">
        <f t="shared" si="8"/>
        <v>0</v>
      </c>
      <c r="AW37" s="312">
        <f t="shared" si="8"/>
        <v>0</v>
      </c>
      <c r="AX37" s="312">
        <f t="shared" si="8"/>
        <v>0</v>
      </c>
    </row>
    <row r="38">
      <c r="A38" s="304"/>
      <c r="B38" s="305" t="s">
        <v>536</v>
      </c>
      <c r="C38" s="312">
        <f>Model!E330</f>
        <v>2070</v>
      </c>
      <c r="D38" s="312">
        <f>Model!F330</f>
        <v>4140</v>
      </c>
      <c r="E38" s="312">
        <f>Model!G330</f>
        <v>6210</v>
      </c>
      <c r="F38" s="312">
        <f>Model!H330</f>
        <v>8280</v>
      </c>
      <c r="G38" s="312">
        <f>Model!I330</f>
        <v>10350</v>
      </c>
      <c r="H38" s="312">
        <f>Model!J330</f>
        <v>12420</v>
      </c>
      <c r="I38" s="312">
        <f>Model!K330</f>
        <v>14490</v>
      </c>
      <c r="J38" s="312">
        <f>Model!L330</f>
        <v>16560</v>
      </c>
      <c r="K38" s="312">
        <f>Model!M330</f>
        <v>18630</v>
      </c>
      <c r="L38" s="312">
        <f>Model!N330</f>
        <v>20700</v>
      </c>
      <c r="M38" s="312">
        <f>Model!O330</f>
        <v>22770</v>
      </c>
      <c r="N38" s="312">
        <f>Model!P330</f>
        <v>24840</v>
      </c>
      <c r="O38" s="312">
        <f>Model!Q330</f>
        <v>26910</v>
      </c>
      <c r="P38" s="312">
        <f>Model!R330</f>
        <v>28980</v>
      </c>
      <c r="Q38" s="312">
        <f>Model!S330</f>
        <v>31050</v>
      </c>
      <c r="R38" s="312">
        <f>Model!T330</f>
        <v>33120</v>
      </c>
      <c r="S38" s="312">
        <f>Model!U330</f>
        <v>35190</v>
      </c>
      <c r="T38" s="312">
        <f>Model!V330</f>
        <v>37260</v>
      </c>
      <c r="U38" s="312">
        <f>Model!W330</f>
        <v>39330</v>
      </c>
      <c r="V38" s="312">
        <f>Model!X330</f>
        <v>41400</v>
      </c>
      <c r="W38" s="312">
        <f>Model!Y330</f>
        <v>43470</v>
      </c>
      <c r="X38" s="312">
        <f>Model!Z330</f>
        <v>45540</v>
      </c>
      <c r="Y38" s="312">
        <f>Model!AA330</f>
        <v>47610</v>
      </c>
      <c r="Z38" s="312">
        <f>Model!AB330</f>
        <v>49680</v>
      </c>
      <c r="AA38" s="312">
        <f>Model!AC330</f>
        <v>51750</v>
      </c>
      <c r="AB38" s="312">
        <f>Model!AD330</f>
        <v>53820</v>
      </c>
      <c r="AC38" s="312">
        <f>Model!AE330</f>
        <v>55890</v>
      </c>
      <c r="AD38" s="312">
        <f>Model!AF330</f>
        <v>57960</v>
      </c>
      <c r="AE38" s="312">
        <f>Model!AG330</f>
        <v>60030</v>
      </c>
      <c r="AF38" s="312">
        <f>Model!AH330</f>
        <v>62100</v>
      </c>
      <c r="AG38" s="312">
        <f>Model!AI330</f>
        <v>64170</v>
      </c>
      <c r="AH38" s="312">
        <f>Model!AJ330</f>
        <v>66240</v>
      </c>
      <c r="AI38" s="312">
        <f>Model!AK330</f>
        <v>68310</v>
      </c>
      <c r="AJ38" s="312">
        <f>Model!AL330</f>
        <v>70380</v>
      </c>
      <c r="AK38" s="312">
        <f>Model!AM330</f>
        <v>72450</v>
      </c>
      <c r="AL38" s="312">
        <f>Model!AN330</f>
        <v>74520</v>
      </c>
      <c r="AM38" s="312">
        <f>Model!AO330</f>
        <v>76590</v>
      </c>
      <c r="AN38" s="312">
        <f>Model!AP330</f>
        <v>78660</v>
      </c>
      <c r="AO38" s="312">
        <f>Model!AQ330</f>
        <v>80730</v>
      </c>
      <c r="AP38" s="312">
        <f>Model!AR330</f>
        <v>82800</v>
      </c>
      <c r="AQ38" s="312">
        <f>Model!AS330</f>
        <v>84870</v>
      </c>
      <c r="AR38" s="312">
        <f>Model!AT330</f>
        <v>86940</v>
      </c>
      <c r="AS38" s="312">
        <f>Model!AU330</f>
        <v>89010</v>
      </c>
      <c r="AT38" s="312">
        <f>Model!AV330</f>
        <v>91080</v>
      </c>
      <c r="AU38" s="312">
        <f>Model!AW330</f>
        <v>93150</v>
      </c>
      <c r="AV38" s="312">
        <f>Model!AX330</f>
        <v>95220</v>
      </c>
      <c r="AW38" s="312">
        <f>Model!AY330</f>
        <v>97290</v>
      </c>
      <c r="AX38" s="312">
        <f>Model!AZ330</f>
        <v>99360</v>
      </c>
    </row>
    <row r="39">
      <c r="A39" s="306"/>
      <c r="B39" s="307" t="s">
        <v>553</v>
      </c>
      <c r="C39" s="298">
        <f t="shared" ref="C39:AX39" si="9">sum(C35:C38)</f>
        <v>-123251.719</v>
      </c>
      <c r="D39" s="298">
        <f t="shared" si="9"/>
        <v>-8657.262001</v>
      </c>
      <c r="E39" s="298">
        <f t="shared" si="9"/>
        <v>109108.6176</v>
      </c>
      <c r="F39" s="298">
        <f t="shared" si="9"/>
        <v>230194.299</v>
      </c>
      <c r="G39" s="298">
        <f t="shared" si="9"/>
        <v>354756.5011</v>
      </c>
      <c r="H39" s="298">
        <f t="shared" si="9"/>
        <v>482960.8063</v>
      </c>
      <c r="I39" s="298">
        <f t="shared" si="9"/>
        <v>614982.2202</v>
      </c>
      <c r="J39" s="298">
        <f t="shared" si="9"/>
        <v>751005.7678</v>
      </c>
      <c r="K39" s="298">
        <f t="shared" si="9"/>
        <v>891227.1313</v>
      </c>
      <c r="L39" s="298">
        <f t="shared" si="9"/>
        <v>1035853.329</v>
      </c>
      <c r="M39" s="298">
        <f t="shared" si="9"/>
        <v>1185103.441</v>
      </c>
      <c r="N39" s="298">
        <f t="shared" si="9"/>
        <v>1339209.385</v>
      </c>
      <c r="O39" s="298">
        <f t="shared" si="9"/>
        <v>1498416.741</v>
      </c>
      <c r="P39" s="298">
        <f t="shared" si="9"/>
        <v>1662985.636</v>
      </c>
      <c r="Q39" s="298">
        <f t="shared" si="9"/>
        <v>1817560.013</v>
      </c>
      <c r="R39" s="298">
        <f t="shared" si="9"/>
        <v>1966636.08</v>
      </c>
      <c r="S39" s="298">
        <f t="shared" si="9"/>
        <v>2121553.386</v>
      </c>
      <c r="T39" s="298">
        <f t="shared" si="9"/>
        <v>2282634.496</v>
      </c>
      <c r="U39" s="298">
        <f t="shared" si="9"/>
        <v>2450221.839</v>
      </c>
      <c r="V39" s="298">
        <f t="shared" si="9"/>
        <v>2624679.017</v>
      </c>
      <c r="W39" s="298">
        <f t="shared" si="9"/>
        <v>2806392.211</v>
      </c>
      <c r="X39" s="298">
        <f t="shared" si="9"/>
        <v>2995771.671</v>
      </c>
      <c r="Y39" s="298">
        <f t="shared" si="9"/>
        <v>3193253.322</v>
      </c>
      <c r="Z39" s="298">
        <f t="shared" si="9"/>
        <v>3399300.469</v>
      </c>
      <c r="AA39" s="298">
        <f t="shared" si="9"/>
        <v>3640382.189</v>
      </c>
      <c r="AB39" s="298">
        <f t="shared" si="9"/>
        <v>3864558.238</v>
      </c>
      <c r="AC39" s="298">
        <f t="shared" si="9"/>
        <v>4097727.766</v>
      </c>
      <c r="AD39" s="298">
        <f t="shared" si="9"/>
        <v>4340433.683</v>
      </c>
      <c r="AE39" s="298">
        <f t="shared" si="9"/>
        <v>4593254.636</v>
      </c>
      <c r="AF39" s="298">
        <f t="shared" si="9"/>
        <v>4856807.468</v>
      </c>
      <c r="AG39" s="298">
        <f t="shared" si="9"/>
        <v>5131749.853</v>
      </c>
      <c r="AH39" s="298">
        <f t="shared" si="9"/>
        <v>5418783.117</v>
      </c>
      <c r="AI39" s="298">
        <f t="shared" si="9"/>
        <v>5718655.256</v>
      </c>
      <c r="AJ39" s="298">
        <f t="shared" si="9"/>
        <v>6032164.173</v>
      </c>
      <c r="AK39" s="298">
        <f t="shared" si="9"/>
        <v>6360161.129</v>
      </c>
      <c r="AL39" s="298">
        <f t="shared" si="9"/>
        <v>6718869.854</v>
      </c>
      <c r="AM39" s="298">
        <f t="shared" si="9"/>
        <v>6894640.078</v>
      </c>
      <c r="AN39" s="298">
        <f t="shared" si="9"/>
        <v>7198012.157</v>
      </c>
      <c r="AO39" s="298">
        <f t="shared" si="9"/>
        <v>7517720.427</v>
      </c>
      <c r="AP39" s="298">
        <f t="shared" si="9"/>
        <v>7854879.906</v>
      </c>
      <c r="AQ39" s="298">
        <f t="shared" si="9"/>
        <v>8210683.616</v>
      </c>
      <c r="AR39" s="298">
        <f t="shared" si="9"/>
        <v>8586408.111</v>
      </c>
      <c r="AS39" s="298">
        <f t="shared" si="9"/>
        <v>8983419.4</v>
      </c>
      <c r="AT39" s="298">
        <f t="shared" si="9"/>
        <v>9403179.284</v>
      </c>
      <c r="AU39" s="298">
        <f t="shared" si="9"/>
        <v>9847252.159</v>
      </c>
      <c r="AV39" s="298">
        <f t="shared" si="9"/>
        <v>10317312.29</v>
      </c>
      <c r="AW39" s="298">
        <f t="shared" si="9"/>
        <v>10815151.6</v>
      </c>
      <c r="AX39" s="298">
        <f t="shared" si="9"/>
        <v>11342688.05</v>
      </c>
    </row>
    <row r="40">
      <c r="A40" s="304"/>
      <c r="B40" s="305" t="s">
        <v>554</v>
      </c>
      <c r="C40" s="312">
        <f>Model!E359</f>
        <v>0</v>
      </c>
      <c r="D40" s="312">
        <f>Model!F359</f>
        <v>54.3761837</v>
      </c>
      <c r="E40" s="312">
        <f>Model!G359</f>
        <v>165.0317175</v>
      </c>
      <c r="F40" s="312">
        <f>Model!H359</f>
        <v>333.9363787</v>
      </c>
      <c r="G40" s="312">
        <f>Model!I359</f>
        <v>563.1288868</v>
      </c>
      <c r="H40" s="312">
        <f>Model!J359</f>
        <v>854.7193163</v>
      </c>
      <c r="I40" s="312">
        <f>Model!K359</f>
        <v>1210.891595</v>
      </c>
      <c r="J40" s="312">
        <f>Model!L359</f>
        <v>1633.906086</v>
      </c>
      <c r="K40" s="312">
        <f>Model!M359</f>
        <v>2126.102269</v>
      </c>
      <c r="L40" s="312">
        <f>Model!N359</f>
        <v>2689.901501</v>
      </c>
      <c r="M40" s="312">
        <f>Model!O359</f>
        <v>3327.809891</v>
      </c>
      <c r="N40" s="312">
        <f>Model!P359</f>
        <v>4042.421258</v>
      </c>
      <c r="O40" s="312">
        <f>Model!Q359</f>
        <v>4836.420206</v>
      </c>
      <c r="P40" s="312">
        <f>Model!R359</f>
        <v>5712.585301</v>
      </c>
      <c r="Q40" s="312">
        <f>Model!S359</f>
        <v>6673.792359</v>
      </c>
      <c r="R40" s="312">
        <f>Model!T359</f>
        <v>7723.017847</v>
      </c>
      <c r="S40" s="312">
        <f>Model!U359</f>
        <v>8863.34241</v>
      </c>
      <c r="T40" s="312">
        <f>Model!V359</f>
        <v>10097.95452</v>
      </c>
      <c r="U40" s="312">
        <f>Model!W359</f>
        <v>11430.15423</v>
      </c>
      <c r="V40" s="312">
        <f>Model!X359</f>
        <v>12863.35712</v>
      </c>
      <c r="W40" s="312">
        <f>Model!Y359</f>
        <v>14401.09829</v>
      </c>
      <c r="X40" s="312">
        <f>Model!Z359</f>
        <v>16047.03659</v>
      </c>
      <c r="Y40" s="312">
        <f>Model!AA359</f>
        <v>17804.95891</v>
      </c>
      <c r="Z40" s="312">
        <f>Model!AB359</f>
        <v>19678.7847</v>
      </c>
      <c r="AA40" s="312">
        <f>Model!AC359</f>
        <v>21672.57057</v>
      </c>
      <c r="AB40" s="312">
        <f>Model!AD359</f>
        <v>24699.69472</v>
      </c>
      <c r="AC40" s="312">
        <f>Model!AE359</f>
        <v>29076.32399</v>
      </c>
      <c r="AD40" s="312">
        <f>Model!AF359</f>
        <v>34849.69105</v>
      </c>
      <c r="AE40" s="312">
        <f>Model!AG359</f>
        <v>42068.68173</v>
      </c>
      <c r="AF40" s="312">
        <f>Model!AH359</f>
        <v>50783.89285</v>
      </c>
      <c r="AG40" s="312">
        <f>Model!AI359</f>
        <v>61047.69214</v>
      </c>
      <c r="AH40" s="312">
        <f>Model!AJ359</f>
        <v>72914.28017</v>
      </c>
      <c r="AI40" s="312">
        <f>Model!AK359</f>
        <v>86439.75455</v>
      </c>
      <c r="AJ40" s="312">
        <f>Model!AL359</f>
        <v>101682.1763</v>
      </c>
      <c r="AK40" s="312">
        <f>Model!AM359</f>
        <v>118701.6386</v>
      </c>
      <c r="AL40" s="312">
        <f>Model!AN359</f>
        <v>137560.3378</v>
      </c>
      <c r="AM40" s="312">
        <f>Model!AO359</f>
        <v>160608.6861</v>
      </c>
      <c r="AN40" s="312">
        <f>Model!AP359</f>
        <v>187993.3212</v>
      </c>
      <c r="AO40" s="312">
        <f>Model!AQ359</f>
        <v>219866.0132</v>
      </c>
      <c r="AP40" s="312">
        <f>Model!AR359</f>
        <v>256383.8439</v>
      </c>
      <c r="AQ40" s="312">
        <f>Model!AS359</f>
        <v>297709.3934</v>
      </c>
      <c r="AR40" s="312">
        <f>Model!AT359</f>
        <v>344010.9316</v>
      </c>
      <c r="AS40" s="312">
        <f>Model!AU359</f>
        <v>395462.6183</v>
      </c>
      <c r="AT40" s="312">
        <f>Model!AV359</f>
        <v>452244.7086</v>
      </c>
      <c r="AU40" s="312">
        <f>Model!AW359</f>
        <v>514543.7667</v>
      </c>
      <c r="AV40" s="312">
        <f>Model!AX359</f>
        <v>582552.8864</v>
      </c>
      <c r="AW40" s="312">
        <f>Model!AY359</f>
        <v>656471.92</v>
      </c>
      <c r="AX40" s="312">
        <f>Model!AZ359</f>
        <v>736507.7142</v>
      </c>
    </row>
    <row r="41">
      <c r="A41" s="304"/>
      <c r="B41" s="305" t="s">
        <v>540</v>
      </c>
      <c r="C41" s="312">
        <f>Model!E405</f>
        <v>0</v>
      </c>
      <c r="D41" s="312">
        <f>Model!F405</f>
        <v>0</v>
      </c>
      <c r="E41" s="312">
        <f>Model!G405</f>
        <v>0</v>
      </c>
      <c r="F41" s="312">
        <f>Model!H405</f>
        <v>0</v>
      </c>
      <c r="G41" s="312">
        <f>Model!I405</f>
        <v>0</v>
      </c>
      <c r="H41" s="312">
        <f>Model!J405</f>
        <v>0</v>
      </c>
      <c r="I41" s="312">
        <f>Model!K405</f>
        <v>0</v>
      </c>
      <c r="J41" s="312">
        <f>Model!L405</f>
        <v>0</v>
      </c>
      <c r="K41" s="312">
        <f>Model!M405</f>
        <v>0</v>
      </c>
      <c r="L41" s="312">
        <f>Model!N405</f>
        <v>0</v>
      </c>
      <c r="M41" s="312">
        <f>Model!O405</f>
        <v>0</v>
      </c>
      <c r="N41" s="312">
        <f>Model!P405</f>
        <v>0</v>
      </c>
      <c r="O41" s="312">
        <f>Model!Q405</f>
        <v>0</v>
      </c>
      <c r="P41" s="312">
        <f>Model!R405</f>
        <v>0</v>
      </c>
      <c r="Q41" s="312">
        <f>Model!S405</f>
        <v>0</v>
      </c>
      <c r="R41" s="312">
        <f>Model!T405</f>
        <v>0</v>
      </c>
      <c r="S41" s="312">
        <f>Model!U405</f>
        <v>0</v>
      </c>
      <c r="T41" s="312">
        <f>Model!V405</f>
        <v>0</v>
      </c>
      <c r="U41" s="312">
        <f>Model!W405</f>
        <v>0</v>
      </c>
      <c r="V41" s="312">
        <f>Model!X405</f>
        <v>0</v>
      </c>
      <c r="W41" s="312">
        <f>Model!Y405</f>
        <v>0</v>
      </c>
      <c r="X41" s="312">
        <f>Model!Z405</f>
        <v>0</v>
      </c>
      <c r="Y41" s="312">
        <f>Model!AA405</f>
        <v>0</v>
      </c>
      <c r="Z41" s="312">
        <f>Model!AB405</f>
        <v>0</v>
      </c>
      <c r="AA41" s="312">
        <f>Model!AC405</f>
        <v>0</v>
      </c>
      <c r="AB41" s="312">
        <f>Model!AD405</f>
        <v>0</v>
      </c>
      <c r="AC41" s="312">
        <f>Model!AE405</f>
        <v>0</v>
      </c>
      <c r="AD41" s="312">
        <f>Model!AF405</f>
        <v>0</v>
      </c>
      <c r="AE41" s="312">
        <f>Model!AG405</f>
        <v>0</v>
      </c>
      <c r="AF41" s="312">
        <f>Model!AH405</f>
        <v>0</v>
      </c>
      <c r="AG41" s="312">
        <f>Model!AI405</f>
        <v>0</v>
      </c>
      <c r="AH41" s="312">
        <f>Model!AJ405</f>
        <v>0</v>
      </c>
      <c r="AI41" s="312">
        <f>Model!AK405</f>
        <v>0</v>
      </c>
      <c r="AJ41" s="312">
        <f>Model!AL405</f>
        <v>0</v>
      </c>
      <c r="AK41" s="312">
        <f>Model!AM405</f>
        <v>0</v>
      </c>
      <c r="AL41" s="312">
        <f>Model!AN405</f>
        <v>0</v>
      </c>
      <c r="AM41" s="312">
        <f>Model!AO405</f>
        <v>0</v>
      </c>
      <c r="AN41" s="312">
        <f>Model!AP405</f>
        <v>0</v>
      </c>
      <c r="AO41" s="312">
        <f>Model!AQ405</f>
        <v>0</v>
      </c>
      <c r="AP41" s="312">
        <f>Model!AR405</f>
        <v>0</v>
      </c>
      <c r="AQ41" s="312">
        <f>Model!AS405</f>
        <v>0</v>
      </c>
      <c r="AR41" s="312">
        <f>Model!AT405</f>
        <v>0</v>
      </c>
      <c r="AS41" s="312">
        <f>Model!AU405</f>
        <v>0</v>
      </c>
      <c r="AT41" s="312">
        <f>Model!AV405</f>
        <v>0</v>
      </c>
      <c r="AU41" s="312">
        <f>Model!AW405</f>
        <v>0</v>
      </c>
      <c r="AV41" s="312">
        <f>Model!AX405</f>
        <v>0</v>
      </c>
      <c r="AW41" s="312">
        <f>Model!AY405</f>
        <v>0</v>
      </c>
      <c r="AX41" s="312">
        <f>Model!AZ405</f>
        <v>0</v>
      </c>
    </row>
    <row r="42">
      <c r="A42" s="304"/>
      <c r="B42" s="305" t="s">
        <v>555</v>
      </c>
      <c r="C42" s="312">
        <f>Model!E446</f>
        <v>0</v>
      </c>
      <c r="D42" s="312">
        <f>Model!F446</f>
        <v>0</v>
      </c>
      <c r="E42" s="312">
        <f>Model!G446</f>
        <v>0</v>
      </c>
      <c r="F42" s="312">
        <f>Model!H446</f>
        <v>0</v>
      </c>
      <c r="G42" s="312">
        <f>Model!I446</f>
        <v>0</v>
      </c>
      <c r="H42" s="312">
        <f>Model!J446</f>
        <v>0</v>
      </c>
      <c r="I42" s="312">
        <f>Model!K446</f>
        <v>0</v>
      </c>
      <c r="J42" s="312">
        <f>Model!L446</f>
        <v>0</v>
      </c>
      <c r="K42" s="312">
        <f>Model!M446</f>
        <v>0</v>
      </c>
      <c r="L42" s="312">
        <f>Model!N446</f>
        <v>0</v>
      </c>
      <c r="M42" s="312">
        <f>Model!O446</f>
        <v>0</v>
      </c>
      <c r="N42" s="312">
        <f>Model!P446</f>
        <v>0</v>
      </c>
      <c r="O42" s="312">
        <f>Model!Q446</f>
        <v>0</v>
      </c>
      <c r="P42" s="312">
        <f>Model!R446</f>
        <v>0</v>
      </c>
      <c r="Q42" s="312">
        <f>Model!S446</f>
        <v>0</v>
      </c>
      <c r="R42" s="312">
        <f>Model!T446</f>
        <v>0</v>
      </c>
      <c r="S42" s="312">
        <f>Model!U446</f>
        <v>0</v>
      </c>
      <c r="T42" s="312">
        <f>Model!V446</f>
        <v>0</v>
      </c>
      <c r="U42" s="312">
        <f>Model!W446</f>
        <v>0</v>
      </c>
      <c r="V42" s="312">
        <f>Model!X446</f>
        <v>0</v>
      </c>
      <c r="W42" s="312">
        <f>Model!Y446</f>
        <v>0</v>
      </c>
      <c r="X42" s="312">
        <f>Model!Z446</f>
        <v>0</v>
      </c>
      <c r="Y42" s="312">
        <f>Model!AA446</f>
        <v>0</v>
      </c>
      <c r="Z42" s="312">
        <f>Model!AB446</f>
        <v>0</v>
      </c>
      <c r="AA42" s="312">
        <f>Model!AC446</f>
        <v>0</v>
      </c>
      <c r="AB42" s="312">
        <f>Model!AD446</f>
        <v>0</v>
      </c>
      <c r="AC42" s="312">
        <f>Model!AE446</f>
        <v>0</v>
      </c>
      <c r="AD42" s="312">
        <f>Model!AF446</f>
        <v>0</v>
      </c>
      <c r="AE42" s="312">
        <f>Model!AG446</f>
        <v>0</v>
      </c>
      <c r="AF42" s="312">
        <f>Model!AH446</f>
        <v>0</v>
      </c>
      <c r="AG42" s="312">
        <f>Model!AI446</f>
        <v>0</v>
      </c>
      <c r="AH42" s="312">
        <f>Model!AJ446</f>
        <v>0</v>
      </c>
      <c r="AI42" s="312">
        <f>Model!AK446</f>
        <v>0</v>
      </c>
      <c r="AJ42" s="312">
        <f>Model!AL446</f>
        <v>0</v>
      </c>
      <c r="AK42" s="312">
        <f>Model!AM446</f>
        <v>0</v>
      </c>
      <c r="AL42" s="312">
        <f>Model!AN446</f>
        <v>0</v>
      </c>
      <c r="AM42" s="312">
        <f>Model!AO446</f>
        <v>0</v>
      </c>
      <c r="AN42" s="312">
        <f>Model!AP446</f>
        <v>0</v>
      </c>
      <c r="AO42" s="312">
        <f>Model!AQ446</f>
        <v>0</v>
      </c>
      <c r="AP42" s="312">
        <f>Model!AR446</f>
        <v>0</v>
      </c>
      <c r="AQ42" s="312">
        <f>Model!AS446</f>
        <v>0</v>
      </c>
      <c r="AR42" s="312">
        <f>Model!AT446</f>
        <v>0</v>
      </c>
      <c r="AS42" s="312">
        <f>Model!AU446</f>
        <v>0</v>
      </c>
      <c r="AT42" s="312">
        <f>Model!AV446</f>
        <v>0</v>
      </c>
      <c r="AU42" s="312">
        <f>Model!AW446</f>
        <v>0</v>
      </c>
      <c r="AV42" s="312">
        <f>Model!AX446</f>
        <v>0</v>
      </c>
      <c r="AW42" s="312">
        <f>Model!AY446</f>
        <v>0</v>
      </c>
      <c r="AX42" s="312">
        <f>Model!AZ446</f>
        <v>0</v>
      </c>
    </row>
    <row r="43">
      <c r="A43" s="304"/>
      <c r="B43" s="305" t="s">
        <v>556</v>
      </c>
      <c r="C43" s="312">
        <f>Model!E491</f>
        <v>21.12903138</v>
      </c>
      <c r="D43" s="312">
        <f>Model!F491</f>
        <v>174.7805905</v>
      </c>
      <c r="E43" s="312">
        <f>Model!G491</f>
        <v>468.9415909</v>
      </c>
      <c r="F43" s="312">
        <f>Model!H491</f>
        <v>912.1716081</v>
      </c>
      <c r="G43" s="312">
        <f>Model!I491</f>
        <v>1513.643939</v>
      </c>
      <c r="H43" s="312">
        <f>Model!J491</f>
        <v>2283.189606</v>
      </c>
      <c r="I43" s="312">
        <f>Model!K491</f>
        <v>3231.344516</v>
      </c>
      <c r="J43" s="312">
        <f>Model!L491</f>
        <v>4369.399999</v>
      </c>
      <c r="K43" s="312">
        <f>Model!M491</f>
        <v>5709.456977</v>
      </c>
      <c r="L43" s="312">
        <f>Model!N491</f>
        <v>7264.484003</v>
      </c>
      <c r="M43" s="312">
        <f>Model!O491</f>
        <v>9048.379479</v>
      </c>
      <c r="N43" s="312">
        <f>Model!P491</f>
        <v>11076.03832</v>
      </c>
      <c r="O43" s="312">
        <f>Model!Q491</f>
        <v>13363.42341</v>
      </c>
      <c r="P43" s="312">
        <f>Model!R491</f>
        <v>15927.64217</v>
      </c>
      <c r="Q43" s="312">
        <f>Model!S491</f>
        <v>18787.02862</v>
      </c>
      <c r="R43" s="312">
        <f>Model!T491</f>
        <v>21961.23133</v>
      </c>
      <c r="S43" s="312">
        <f>Model!U491</f>
        <v>25471.30768</v>
      </c>
      <c r="T43" s="312">
        <f>Model!V491</f>
        <v>29339.82486</v>
      </c>
      <c r="U43" s="312">
        <f>Model!W491</f>
        <v>33590.96812</v>
      </c>
      <c r="V43" s="312">
        <f>Model!X491</f>
        <v>38250.65679</v>
      </c>
      <c r="W43" s="312">
        <f>Model!Y491</f>
        <v>43346.66865</v>
      </c>
      <c r="X43" s="312">
        <f>Model!Z491</f>
        <v>48908.77309</v>
      </c>
      <c r="Y43" s="312">
        <f>Model!AA491</f>
        <v>54968.87402</v>
      </c>
      <c r="Z43" s="312">
        <f>Model!AB491</f>
        <v>61561.16283</v>
      </c>
      <c r="AA43" s="312">
        <f>Model!AC491</f>
        <v>68973.1534</v>
      </c>
      <c r="AB43" s="312">
        <f>Model!AD491</f>
        <v>78566.72247</v>
      </c>
      <c r="AC43" s="312">
        <f>Model!AE491</f>
        <v>90478.78679</v>
      </c>
      <c r="AD43" s="312">
        <f>Model!AF491</f>
        <v>104856.0801</v>
      </c>
      <c r="AE43" s="312">
        <f>Model!AG491</f>
        <v>121855.8569</v>
      </c>
      <c r="AF43" s="312">
        <f>Model!AH491</f>
        <v>141646.6468</v>
      </c>
      <c r="AG43" s="312">
        <f>Model!AI491</f>
        <v>164409.0632</v>
      </c>
      <c r="AH43" s="312">
        <f>Model!AJ491</f>
        <v>190336.6692</v>
      </c>
      <c r="AI43" s="312">
        <f>Model!AK491</f>
        <v>219636.9064</v>
      </c>
      <c r="AJ43" s="312">
        <f>Model!AL491</f>
        <v>252532.0903</v>
      </c>
      <c r="AK43" s="312">
        <f>Model!AM491</f>
        <v>289260.476</v>
      </c>
      <c r="AL43" s="312">
        <f>Model!AN491</f>
        <v>330077.4017</v>
      </c>
      <c r="AM43" s="312">
        <f>Model!AO491</f>
        <v>375256.5134</v>
      </c>
      <c r="AN43" s="312">
        <f>Model!AP491</f>
        <v>425091.0773</v>
      </c>
      <c r="AO43" s="312">
        <f>Model!AQ491</f>
        <v>479895.387</v>
      </c>
      <c r="AP43" s="312">
        <f>Model!AR491</f>
        <v>540006.2709</v>
      </c>
      <c r="AQ43" s="312">
        <f>Model!AS491</f>
        <v>605784.7079</v>
      </c>
      <c r="AR43" s="312">
        <f>Model!AT491</f>
        <v>677617.5593</v>
      </c>
      <c r="AS43" s="312">
        <f>Model!AU491</f>
        <v>755919.424</v>
      </c>
      <c r="AT43" s="312">
        <f>Model!AV491</f>
        <v>841134.628</v>
      </c>
      <c r="AU43" s="312">
        <f>Model!AW491</f>
        <v>933739.3553</v>
      </c>
      <c r="AV43" s="312">
        <f>Model!AX491</f>
        <v>1034243.932</v>
      </c>
      <c r="AW43" s="312">
        <f>Model!AY491</f>
        <v>1143195.276</v>
      </c>
      <c r="AX43" s="312">
        <f>Model!AZ491</f>
        <v>1261179.517</v>
      </c>
    </row>
    <row r="44">
      <c r="A44" s="304"/>
      <c r="B44" s="305" t="s">
        <v>543</v>
      </c>
      <c r="C44" s="312">
        <f>Model!E537</f>
        <v>3831.342556</v>
      </c>
      <c r="D44" s="312">
        <f>Model!F537</f>
        <v>9995.886187</v>
      </c>
      <c r="E44" s="312">
        <f>Model!G537</f>
        <v>17303.31813</v>
      </c>
      <c r="F44" s="312">
        <f>Model!H537</f>
        <v>25918.98943</v>
      </c>
      <c r="G44" s="312">
        <f>Model!I537</f>
        <v>36030.03216</v>
      </c>
      <c r="H44" s="312">
        <f>Model!J537</f>
        <v>47848.10214</v>
      </c>
      <c r="I44" s="312">
        <f>Model!K537</f>
        <v>61612.45902</v>
      </c>
      <c r="J44" s="312">
        <f>Model!L537</f>
        <v>77593.4244</v>
      </c>
      <c r="K44" s="312">
        <f>Model!M537</f>
        <v>96096.26389</v>
      </c>
      <c r="L44" s="312">
        <f>Model!N537</f>
        <v>117465.5445</v>
      </c>
      <c r="M44" s="312">
        <f>Model!O537</f>
        <v>142090.0248</v>
      </c>
      <c r="N44" s="312">
        <f>Model!P537</f>
        <v>170408.1421</v>
      </c>
      <c r="O44" s="312">
        <f>Model!Q537</f>
        <v>202914.1698</v>
      </c>
      <c r="P44" s="312">
        <f>Model!R537</f>
        <v>240165.1235</v>
      </c>
      <c r="Q44" s="312">
        <f>Model!S537</f>
        <v>282788.5096</v>
      </c>
      <c r="R44" s="312">
        <f>Model!T537</f>
        <v>331491.0145</v>
      </c>
      <c r="S44" s="312">
        <f>Model!U537</f>
        <v>387068.2506</v>
      </c>
      <c r="T44" s="312">
        <f>Model!V537</f>
        <v>450415.6849</v>
      </c>
      <c r="U44" s="312">
        <f>Model!W537</f>
        <v>522540.8925</v>
      </c>
      <c r="V44" s="312">
        <f>Model!X537</f>
        <v>604577.2955</v>
      </c>
      <c r="W44" s="312">
        <f>Model!Y537</f>
        <v>697799.5648</v>
      </c>
      <c r="X44" s="312">
        <f>Model!Z537</f>
        <v>803640.886</v>
      </c>
      <c r="Y44" s="312">
        <f>Model!AA537</f>
        <v>923712.312</v>
      </c>
      <c r="Z44" s="312">
        <f>Model!AB537</f>
        <v>1059824.454</v>
      </c>
      <c r="AA44" s="312">
        <f>Model!AC537</f>
        <v>1214011.79</v>
      </c>
      <c r="AB44" s="312">
        <f>Model!AD537</f>
        <v>1388559.912</v>
      </c>
      <c r="AC44" s="312">
        <f>Model!AE537</f>
        <v>1586036.047</v>
      </c>
      <c r="AD44" s="312">
        <f>Model!AF537</f>
        <v>1809323.272</v>
      </c>
      <c r="AE44" s="312">
        <f>Model!AG537</f>
        <v>2061658.835</v>
      </c>
      <c r="AF44" s="312">
        <f>Model!AH537</f>
        <v>2346677.102</v>
      </c>
      <c r="AG44" s="312">
        <f>Model!AI537</f>
        <v>2668457.66</v>
      </c>
      <c r="AH44" s="312">
        <f>Model!AJ537</f>
        <v>3031579.217</v>
      </c>
      <c r="AI44" s="312">
        <f>Model!AK537</f>
        <v>3441179.974</v>
      </c>
      <c r="AJ44" s="312">
        <f>Model!AL537</f>
        <v>3903025.251</v>
      </c>
      <c r="AK44" s="312">
        <f>Model!AM537</f>
        <v>4423583.244</v>
      </c>
      <c r="AL44" s="312">
        <f>Model!AN537</f>
        <v>5010109.863</v>
      </c>
      <c r="AM44" s="312">
        <f>Model!AO537</f>
        <v>5670743.769</v>
      </c>
      <c r="AN44" s="312">
        <f>Model!AP537</f>
        <v>6414612.801</v>
      </c>
      <c r="AO44" s="312">
        <f>Model!AQ537</f>
        <v>7251953.17</v>
      </c>
      <c r="AP44" s="312">
        <f>Model!AR537</f>
        <v>8194242.947</v>
      </c>
      <c r="AQ44" s="312">
        <f>Model!AS537</f>
        <v>9254351.544</v>
      </c>
      <c r="AR44" s="312">
        <f>Model!AT537</f>
        <v>10446707.11</v>
      </c>
      <c r="AS44" s="312">
        <f>Model!AU537</f>
        <v>11787483.98</v>
      </c>
      <c r="AT44" s="312">
        <f>Model!AV537</f>
        <v>13294812.56</v>
      </c>
      <c r="AU44" s="312">
        <f>Model!AW537</f>
        <v>14989014.35</v>
      </c>
      <c r="AV44" s="312">
        <f>Model!AX537</f>
        <v>16892865.1</v>
      </c>
      <c r="AW44" s="312">
        <f>Model!AY537</f>
        <v>19031889.41</v>
      </c>
      <c r="AX44" s="312">
        <f>Model!AZ537</f>
        <v>21434690.67</v>
      </c>
    </row>
    <row r="45">
      <c r="A45" s="304"/>
      <c r="B45" s="305" t="s">
        <v>544</v>
      </c>
      <c r="C45" s="312">
        <f>Model!E571</f>
        <v>572.76435</v>
      </c>
      <c r="D45" s="312">
        <f>Model!F571</f>
        <v>1631.458288</v>
      </c>
      <c r="E45" s="312">
        <f>Model!G571</f>
        <v>3321.693871</v>
      </c>
      <c r="F45" s="312">
        <f>Model!H571</f>
        <v>5745.260539</v>
      </c>
      <c r="G45" s="312">
        <f>Model!I571</f>
        <v>9016.992892</v>
      </c>
      <c r="H45" s="312">
        <f>Model!J571</f>
        <v>13266.29048</v>
      </c>
      <c r="I45" s="312">
        <f>Model!K571</f>
        <v>18638.80599</v>
      </c>
      <c r="J45" s="312">
        <f>Model!L571</f>
        <v>25298.32002</v>
      </c>
      <c r="K45" s="312">
        <f>Model!M571</f>
        <v>33428.8223</v>
      </c>
      <c r="L45" s="312">
        <f>Model!N571</f>
        <v>43236.82176</v>
      </c>
      <c r="M45" s="312">
        <f>Model!O571</f>
        <v>54953.90969</v>
      </c>
      <c r="N45" s="312">
        <f>Model!P571</f>
        <v>68839.60316</v>
      </c>
      <c r="O45" s="312">
        <f>Model!Q571</f>
        <v>85184.49866</v>
      </c>
      <c r="P45" s="312">
        <f>Model!R571</f>
        <v>104313.7689</v>
      </c>
      <c r="Q45" s="312">
        <f>Model!S571</f>
        <v>126591.0392</v>
      </c>
      <c r="R45" s="312">
        <f>Model!T571</f>
        <v>152422.6844</v>
      </c>
      <c r="S45" s="312">
        <f>Model!U571</f>
        <v>182262.5895</v>
      </c>
      <c r="T45" s="312">
        <f>Model!V571</f>
        <v>216617.4253</v>
      </c>
      <c r="U45" s="312">
        <f>Model!W571</f>
        <v>256052.4916</v>
      </c>
      <c r="V45" s="312">
        <f>Model!X571</f>
        <v>301198.1887</v>
      </c>
      <c r="W45" s="312">
        <f>Model!Y571</f>
        <v>352757.1836</v>
      </c>
      <c r="X45" s="312">
        <f>Model!Z571</f>
        <v>411512.3448</v>
      </c>
      <c r="Y45" s="312">
        <f>Model!AA571</f>
        <v>478335.5251</v>
      </c>
      <c r="Z45" s="312">
        <f>Model!AB571</f>
        <v>554197.2827</v>
      </c>
      <c r="AA45" s="312">
        <f>Model!AC571</f>
        <v>640177.6397</v>
      </c>
      <c r="AB45" s="312">
        <f>Model!AD571</f>
        <v>737477.9856</v>
      </c>
      <c r="AC45" s="312">
        <f>Model!AE571</f>
        <v>847434.2472</v>
      </c>
      <c r="AD45" s="312">
        <f>Model!AF571</f>
        <v>971531.4569</v>
      </c>
      <c r="AE45" s="312">
        <f>Model!AG571</f>
        <v>1111419.866</v>
      </c>
      <c r="AF45" s="312">
        <f>Model!AH571</f>
        <v>1268932.766</v>
      </c>
      <c r="AG45" s="312">
        <f>Model!AI571</f>
        <v>1446106.191</v>
      </c>
      <c r="AH45" s="312">
        <f>Model!AJ571</f>
        <v>1645200.711</v>
      </c>
      <c r="AI45" s="312">
        <f>Model!AK571</f>
        <v>1868725.514</v>
      </c>
      <c r="AJ45" s="312">
        <f>Model!AL571</f>
        <v>2119465.036</v>
      </c>
      <c r="AK45" s="312">
        <f>Model!AM571</f>
        <v>2400508.391</v>
      </c>
      <c r="AL45" s="312">
        <f>Model!AN571</f>
        <v>2715281.899</v>
      </c>
      <c r="AM45" s="312">
        <f>Model!AO571</f>
        <v>3067585.03</v>
      </c>
      <c r="AN45" s="312">
        <f>Model!AP571</f>
        <v>3461630.127</v>
      </c>
      <c r="AO45" s="312">
        <f>Model!AQ571</f>
        <v>3902086.293</v>
      </c>
      <c r="AP45" s="312">
        <f>Model!AR571</f>
        <v>4394127.873</v>
      </c>
      <c r="AQ45" s="312">
        <f>Model!AS571</f>
        <v>4943488.019</v>
      </c>
      <c r="AR45" s="312">
        <f>Model!AT571</f>
        <v>5556517.857</v>
      </c>
      <c r="AS45" s="312">
        <f>Model!AU571</f>
        <v>6240251.84</v>
      </c>
      <c r="AT45" s="312">
        <f>Model!AV571</f>
        <v>7002479.919</v>
      </c>
      <c r="AU45" s="312">
        <f>Model!AW571</f>
        <v>7851827.258</v>
      </c>
      <c r="AV45" s="312">
        <f>Model!AX571</f>
        <v>8797842.252</v>
      </c>
      <c r="AW45" s="312">
        <f>Model!AY571</f>
        <v>9851093.726</v>
      </c>
      <c r="AX45" s="312">
        <f>Model!AZ571</f>
        <v>11023278.25</v>
      </c>
    </row>
    <row r="46">
      <c r="A46" s="304"/>
      <c r="B46" s="305" t="s">
        <v>545</v>
      </c>
      <c r="C46" s="312">
        <f>Model!E607</f>
        <v>0</v>
      </c>
      <c r="D46" s="312">
        <f>Model!F607</f>
        <v>54.3761837</v>
      </c>
      <c r="E46" s="312">
        <f>Model!G607</f>
        <v>165.0317175</v>
      </c>
      <c r="F46" s="312">
        <f>Model!H607</f>
        <v>333.9363787</v>
      </c>
      <c r="G46" s="312">
        <f>Model!I607</f>
        <v>563.1288868</v>
      </c>
      <c r="H46" s="312">
        <f>Model!J607</f>
        <v>854.7193163</v>
      </c>
      <c r="I46" s="312">
        <f>Model!K607</f>
        <v>1210.891595</v>
      </c>
      <c r="J46" s="312">
        <f>Model!L607</f>
        <v>1633.906086</v>
      </c>
      <c r="K46" s="312">
        <f>Model!M607</f>
        <v>2126.102269</v>
      </c>
      <c r="L46" s="312">
        <f>Model!N607</f>
        <v>2689.901501</v>
      </c>
      <c r="M46" s="312">
        <f>Model!O607</f>
        <v>3327.809891</v>
      </c>
      <c r="N46" s="312">
        <f>Model!P607</f>
        <v>4042.421258</v>
      </c>
      <c r="O46" s="312">
        <f>Model!Q607</f>
        <v>4836.420206</v>
      </c>
      <c r="P46" s="312">
        <f>Model!R607</f>
        <v>5712.585301</v>
      </c>
      <c r="Q46" s="312">
        <f>Model!S607</f>
        <v>6673.792359</v>
      </c>
      <c r="R46" s="312">
        <f>Model!T607</f>
        <v>7723.017847</v>
      </c>
      <c r="S46" s="312">
        <f>Model!U607</f>
        <v>8863.34241</v>
      </c>
      <c r="T46" s="312">
        <f>Model!V607</f>
        <v>10097.95452</v>
      </c>
      <c r="U46" s="312">
        <f>Model!W607</f>
        <v>11430.15423</v>
      </c>
      <c r="V46" s="312">
        <f>Model!X607</f>
        <v>12863.35712</v>
      </c>
      <c r="W46" s="312">
        <f>Model!Y607</f>
        <v>14401.09829</v>
      </c>
      <c r="X46" s="312">
        <f>Model!Z607</f>
        <v>16047.03659</v>
      </c>
      <c r="Y46" s="312">
        <f>Model!AA607</f>
        <v>17804.95891</v>
      </c>
      <c r="Z46" s="312">
        <f>Model!AB607</f>
        <v>19678.7847</v>
      </c>
      <c r="AA46" s="312">
        <f>Model!AC607</f>
        <v>21672.57057</v>
      </c>
      <c r="AB46" s="312">
        <f>Model!AD607</f>
        <v>23790.51514</v>
      </c>
      <c r="AC46" s="312">
        <f>Model!AE607</f>
        <v>26036.96394</v>
      </c>
      <c r="AD46" s="312">
        <f>Model!AF607</f>
        <v>28416.41464</v>
      </c>
      <c r="AE46" s="312">
        <f>Model!AG607</f>
        <v>30933.5223</v>
      </c>
      <c r="AF46" s="312">
        <f>Model!AH607</f>
        <v>33593.1049</v>
      </c>
      <c r="AG46" s="312">
        <f>Model!AI607</f>
        <v>36400.14909</v>
      </c>
      <c r="AH46" s="312">
        <f>Model!AJ607</f>
        <v>39359.816</v>
      </c>
      <c r="AI46" s="312">
        <f>Model!AK607</f>
        <v>42477.44744</v>
      </c>
      <c r="AJ46" s="312">
        <f>Model!AL607</f>
        <v>45758.57216</v>
      </c>
      <c r="AK46" s="312">
        <f>Model!AM607</f>
        <v>49208.91243</v>
      </c>
      <c r="AL46" s="312">
        <f>Model!AN607</f>
        <v>52834.39079</v>
      </c>
      <c r="AM46" s="312">
        <f>Model!AO607</f>
        <v>56641.13709</v>
      </c>
      <c r="AN46" s="312">
        <f>Model!AP607</f>
        <v>60635.49568</v>
      </c>
      <c r="AO46" s="312">
        <f>Model!AQ607</f>
        <v>64824.03301</v>
      </c>
      <c r="AP46" s="312">
        <f>Model!AR607</f>
        <v>69213.54533</v>
      </c>
      <c r="AQ46" s="312">
        <f>Model!AS607</f>
        <v>73811.06676</v>
      </c>
      <c r="AR46" s="312">
        <f>Model!AT607</f>
        <v>78623.87763</v>
      </c>
      <c r="AS46" s="312">
        <f>Model!AU607</f>
        <v>83659.51306</v>
      </c>
      <c r="AT46" s="312">
        <f>Model!AV607</f>
        <v>88925.77192</v>
      </c>
      <c r="AU46" s="312">
        <f>Model!AW607</f>
        <v>94430.72602</v>
      </c>
      <c r="AV46" s="312">
        <f>Model!AX607</f>
        <v>100182.7297</v>
      </c>
      <c r="AW46" s="312">
        <f>Model!AY607</f>
        <v>106190.4297</v>
      </c>
      <c r="AX46" s="312">
        <f>Model!AZ607</f>
        <v>112462.7754</v>
      </c>
    </row>
    <row r="47">
      <c r="A47" s="304"/>
      <c r="B47" s="307" t="s">
        <v>546</v>
      </c>
      <c r="C47" s="313">
        <f t="shared" ref="C47:AX47" si="10">sum(C42:C45)</f>
        <v>4425.235938</v>
      </c>
      <c r="D47" s="313">
        <f t="shared" si="10"/>
        <v>11802.12507</v>
      </c>
      <c r="E47" s="313">
        <f t="shared" si="10"/>
        <v>21093.95359</v>
      </c>
      <c r="F47" s="313">
        <f t="shared" si="10"/>
        <v>32576.42158</v>
      </c>
      <c r="G47" s="313">
        <f t="shared" si="10"/>
        <v>46560.66899</v>
      </c>
      <c r="H47" s="313">
        <f t="shared" si="10"/>
        <v>63397.58222</v>
      </c>
      <c r="I47" s="313">
        <f t="shared" si="10"/>
        <v>83482.60953</v>
      </c>
      <c r="J47" s="313">
        <f t="shared" si="10"/>
        <v>107261.1444</v>
      </c>
      <c r="K47" s="313">
        <f t="shared" si="10"/>
        <v>135234.5432</v>
      </c>
      <c r="L47" s="313">
        <f t="shared" si="10"/>
        <v>167966.8503</v>
      </c>
      <c r="M47" s="313">
        <f t="shared" si="10"/>
        <v>206092.3139</v>
      </c>
      <c r="N47" s="313">
        <f t="shared" si="10"/>
        <v>250323.7836</v>
      </c>
      <c r="O47" s="313">
        <f t="shared" si="10"/>
        <v>301462.0919</v>
      </c>
      <c r="P47" s="313">
        <f t="shared" si="10"/>
        <v>360406.5346</v>
      </c>
      <c r="Q47" s="313">
        <f t="shared" si="10"/>
        <v>428166.5774</v>
      </c>
      <c r="R47" s="313">
        <f t="shared" si="10"/>
        <v>505874.9302</v>
      </c>
      <c r="S47" s="313">
        <f t="shared" si="10"/>
        <v>594802.1478</v>
      </c>
      <c r="T47" s="313">
        <f t="shared" si="10"/>
        <v>696372.9351</v>
      </c>
      <c r="U47" s="313">
        <f t="shared" si="10"/>
        <v>812184.3523</v>
      </c>
      <c r="V47" s="313">
        <f t="shared" si="10"/>
        <v>944026.1409</v>
      </c>
      <c r="W47" s="313">
        <f t="shared" si="10"/>
        <v>1093903.417</v>
      </c>
      <c r="X47" s="313">
        <f t="shared" si="10"/>
        <v>1264062.004</v>
      </c>
      <c r="Y47" s="313">
        <f t="shared" si="10"/>
        <v>1457016.711</v>
      </c>
      <c r="Z47" s="313">
        <f t="shared" si="10"/>
        <v>1675582.899</v>
      </c>
      <c r="AA47" s="313">
        <f t="shared" si="10"/>
        <v>1923162.583</v>
      </c>
      <c r="AB47" s="313">
        <f t="shared" si="10"/>
        <v>2204604.62</v>
      </c>
      <c r="AC47" s="313">
        <f t="shared" si="10"/>
        <v>2523949.081</v>
      </c>
      <c r="AD47" s="313">
        <f t="shared" si="10"/>
        <v>2885710.809</v>
      </c>
      <c r="AE47" s="313">
        <f t="shared" si="10"/>
        <v>3294934.558</v>
      </c>
      <c r="AF47" s="313">
        <f t="shared" si="10"/>
        <v>3757256.514</v>
      </c>
      <c r="AG47" s="313">
        <f t="shared" si="10"/>
        <v>4278972.914</v>
      </c>
      <c r="AH47" s="313">
        <f t="shared" si="10"/>
        <v>4867116.597</v>
      </c>
      <c r="AI47" s="313">
        <f t="shared" si="10"/>
        <v>5529542.394</v>
      </c>
      <c r="AJ47" s="313">
        <f t="shared" si="10"/>
        <v>6275022.378</v>
      </c>
      <c r="AK47" s="313">
        <f t="shared" si="10"/>
        <v>7113352.111</v>
      </c>
      <c r="AL47" s="313">
        <f t="shared" si="10"/>
        <v>8055469.164</v>
      </c>
      <c r="AM47" s="313">
        <f t="shared" si="10"/>
        <v>9113585.313</v>
      </c>
      <c r="AN47" s="313">
        <f t="shared" si="10"/>
        <v>10301334.01</v>
      </c>
      <c r="AO47" s="313">
        <f t="shared" si="10"/>
        <v>11633934.85</v>
      </c>
      <c r="AP47" s="313">
        <f t="shared" si="10"/>
        <v>13128377.09</v>
      </c>
      <c r="AQ47" s="313">
        <f t="shared" si="10"/>
        <v>14803624.27</v>
      </c>
      <c r="AR47" s="313">
        <f t="shared" si="10"/>
        <v>16680842.53</v>
      </c>
      <c r="AS47" s="313">
        <f t="shared" si="10"/>
        <v>18783655.25</v>
      </c>
      <c r="AT47" s="313">
        <f t="shared" si="10"/>
        <v>21138427.11</v>
      </c>
      <c r="AU47" s="313">
        <f t="shared" si="10"/>
        <v>23774580.97</v>
      </c>
      <c r="AV47" s="313">
        <f t="shared" si="10"/>
        <v>26724951.28</v>
      </c>
      <c r="AW47" s="313">
        <f t="shared" si="10"/>
        <v>30026178.41</v>
      </c>
      <c r="AX47" s="313">
        <f t="shared" si="10"/>
        <v>33719148.43</v>
      </c>
    </row>
    <row r="48">
      <c r="A48" s="304"/>
      <c r="B48" s="305" t="s">
        <v>548</v>
      </c>
      <c r="C48" s="111" t="s">
        <v>97</v>
      </c>
      <c r="D48" s="111" t="s">
        <v>97</v>
      </c>
      <c r="E48" s="111" t="s">
        <v>97</v>
      </c>
      <c r="F48" s="111" t="s">
        <v>97</v>
      </c>
      <c r="G48" s="111" t="s">
        <v>97</v>
      </c>
      <c r="H48" s="111" t="s">
        <v>97</v>
      </c>
      <c r="I48" s="111" t="s">
        <v>97</v>
      </c>
      <c r="J48" s="111" t="s">
        <v>97</v>
      </c>
      <c r="K48" s="111" t="s">
        <v>97</v>
      </c>
      <c r="L48" s="111" t="s">
        <v>97</v>
      </c>
      <c r="M48" s="111" t="s">
        <v>97</v>
      </c>
      <c r="N48" s="111" t="s">
        <v>97</v>
      </c>
      <c r="O48" s="111" t="s">
        <v>97</v>
      </c>
      <c r="P48" s="111" t="s">
        <v>97</v>
      </c>
      <c r="Q48" s="111" t="s">
        <v>97</v>
      </c>
      <c r="R48" s="111" t="s">
        <v>97</v>
      </c>
      <c r="S48" s="111" t="s">
        <v>97</v>
      </c>
      <c r="T48" s="111" t="s">
        <v>97</v>
      </c>
      <c r="U48" s="111" t="s">
        <v>97</v>
      </c>
      <c r="V48" s="111" t="s">
        <v>97</v>
      </c>
      <c r="W48" s="111" t="s">
        <v>97</v>
      </c>
      <c r="X48" s="111" t="s">
        <v>97</v>
      </c>
      <c r="Y48" s="111" t="s">
        <v>97</v>
      </c>
      <c r="Z48" s="111" t="s">
        <v>97</v>
      </c>
      <c r="AA48" s="111" t="s">
        <v>97</v>
      </c>
      <c r="AB48" s="111" t="s">
        <v>97</v>
      </c>
      <c r="AC48" s="111" t="s">
        <v>97</v>
      </c>
      <c r="AD48" s="111" t="s">
        <v>97</v>
      </c>
      <c r="AE48" s="111" t="s">
        <v>97</v>
      </c>
      <c r="AF48" s="111" t="s">
        <v>97</v>
      </c>
      <c r="AG48" s="111" t="s">
        <v>97</v>
      </c>
      <c r="AH48" s="111" t="s">
        <v>97</v>
      </c>
      <c r="AI48" s="111" t="s">
        <v>97</v>
      </c>
      <c r="AJ48" s="111" t="s">
        <v>97</v>
      </c>
      <c r="AK48" s="111" t="s">
        <v>97</v>
      </c>
      <c r="AL48" s="111" t="s">
        <v>97</v>
      </c>
      <c r="AM48" s="111" t="s">
        <v>97</v>
      </c>
      <c r="AN48" s="111" t="s">
        <v>97</v>
      </c>
      <c r="AO48" s="111" t="s">
        <v>97</v>
      </c>
      <c r="AP48" s="111" t="s">
        <v>97</v>
      </c>
      <c r="AQ48" s="111" t="s">
        <v>97</v>
      </c>
      <c r="AR48" s="111" t="s">
        <v>97</v>
      </c>
      <c r="AS48" s="111" t="s">
        <v>97</v>
      </c>
      <c r="AT48" s="111" t="s">
        <v>97</v>
      </c>
      <c r="AU48" s="111" t="s">
        <v>97</v>
      </c>
      <c r="AV48" s="111" t="s">
        <v>97</v>
      </c>
      <c r="AW48" s="111" t="s">
        <v>97</v>
      </c>
      <c r="AX48" s="111" t="s">
        <v>97</v>
      </c>
    </row>
    <row r="49">
      <c r="A49" s="304"/>
      <c r="B49" s="305" t="s">
        <v>549</v>
      </c>
      <c r="C49" s="111" t="s">
        <v>97</v>
      </c>
      <c r="D49" s="111" t="s">
        <v>97</v>
      </c>
      <c r="E49" s="111" t="s">
        <v>97</v>
      </c>
      <c r="F49" s="111" t="s">
        <v>97</v>
      </c>
      <c r="G49" s="111" t="s">
        <v>97</v>
      </c>
      <c r="H49" s="111" t="s">
        <v>97</v>
      </c>
      <c r="I49" s="111" t="s">
        <v>97</v>
      </c>
      <c r="J49" s="111" t="s">
        <v>97</v>
      </c>
      <c r="K49" s="111" t="s">
        <v>97</v>
      </c>
      <c r="L49" s="111" t="s">
        <v>97</v>
      </c>
      <c r="M49" s="111" t="s">
        <v>97</v>
      </c>
      <c r="N49" s="111" t="s">
        <v>97</v>
      </c>
      <c r="O49" s="111" t="s">
        <v>97</v>
      </c>
      <c r="P49" s="111" t="s">
        <v>97</v>
      </c>
      <c r="Q49" s="111" t="s">
        <v>97</v>
      </c>
      <c r="R49" s="111" t="s">
        <v>97</v>
      </c>
      <c r="S49" s="111" t="s">
        <v>97</v>
      </c>
      <c r="T49" s="111" t="s">
        <v>97</v>
      </c>
      <c r="U49" s="111" t="s">
        <v>97</v>
      </c>
      <c r="V49" s="111" t="s">
        <v>97</v>
      </c>
      <c r="W49" s="111" t="s">
        <v>97</v>
      </c>
      <c r="X49" s="111" t="s">
        <v>97</v>
      </c>
      <c r="Y49" s="111" t="s">
        <v>97</v>
      </c>
      <c r="Z49" s="111" t="s">
        <v>97</v>
      </c>
      <c r="AA49" s="111" t="s">
        <v>97</v>
      </c>
      <c r="AB49" s="111" t="s">
        <v>97</v>
      </c>
      <c r="AC49" s="111" t="s">
        <v>97</v>
      </c>
      <c r="AD49" s="111" t="s">
        <v>97</v>
      </c>
      <c r="AE49" s="111" t="s">
        <v>97</v>
      </c>
      <c r="AF49" s="111" t="s">
        <v>97</v>
      </c>
      <c r="AG49" s="111" t="s">
        <v>97</v>
      </c>
      <c r="AH49" s="111" t="s">
        <v>97</v>
      </c>
      <c r="AI49" s="111" t="s">
        <v>97</v>
      </c>
      <c r="AJ49" s="111" t="s">
        <v>97</v>
      </c>
      <c r="AK49" s="111" t="s">
        <v>97</v>
      </c>
      <c r="AL49" s="111" t="s">
        <v>97</v>
      </c>
      <c r="AM49" s="111" t="s">
        <v>97</v>
      </c>
      <c r="AN49" s="111" t="s">
        <v>97</v>
      </c>
      <c r="AO49" s="111" t="s">
        <v>97</v>
      </c>
      <c r="AP49" s="111" t="s">
        <v>97</v>
      </c>
      <c r="AQ49" s="111" t="s">
        <v>97</v>
      </c>
      <c r="AR49" s="111" t="s">
        <v>97</v>
      </c>
      <c r="AS49" s="111" t="s">
        <v>97</v>
      </c>
      <c r="AT49" s="111" t="s">
        <v>97</v>
      </c>
      <c r="AU49" s="111" t="s">
        <v>97</v>
      </c>
      <c r="AV49" s="111" t="s">
        <v>97</v>
      </c>
      <c r="AW49" s="111" t="s">
        <v>97</v>
      </c>
      <c r="AX49" s="111" t="s">
        <v>97</v>
      </c>
    </row>
    <row r="50">
      <c r="B50" s="30"/>
    </row>
    <row r="51">
      <c r="B51" s="30"/>
    </row>
    <row r="52">
      <c r="B52" s="311" t="s">
        <v>557</v>
      </c>
    </row>
    <row r="53">
      <c r="B53" s="311"/>
    </row>
    <row r="54">
      <c r="B54" s="30"/>
      <c r="C54" s="314" t="s">
        <v>558</v>
      </c>
      <c r="D54" s="21"/>
      <c r="E54" s="314" t="s">
        <v>559</v>
      </c>
      <c r="F54" s="21"/>
      <c r="G54" s="314" t="s">
        <v>560</v>
      </c>
      <c r="H54" s="21"/>
      <c r="I54" s="314" t="s">
        <v>561</v>
      </c>
      <c r="J54" s="21"/>
    </row>
    <row r="55">
      <c r="B55" s="30"/>
      <c r="C55" s="315" t="s">
        <v>345</v>
      </c>
      <c r="D55" s="316" t="s">
        <v>251</v>
      </c>
      <c r="E55" s="315" t="s">
        <v>345</v>
      </c>
      <c r="F55" s="316" t="s">
        <v>251</v>
      </c>
      <c r="G55" s="315" t="s">
        <v>345</v>
      </c>
      <c r="H55" s="316" t="s">
        <v>251</v>
      </c>
      <c r="I55" s="315" t="s">
        <v>345</v>
      </c>
      <c r="J55" s="316" t="s">
        <v>251</v>
      </c>
    </row>
    <row r="56">
      <c r="A56" s="296"/>
      <c r="B56" s="297" t="s">
        <v>551</v>
      </c>
      <c r="C56" s="301">
        <f t="shared" ref="C56:C59" si="11">C4</f>
        <v>50845.56</v>
      </c>
      <c r="D56" s="317"/>
      <c r="E56" s="301">
        <f t="shared" ref="E56:E59" si="12">G4</f>
        <v>50845.56</v>
      </c>
      <c r="F56" s="317"/>
      <c r="G56" s="301">
        <f t="shared" ref="G56:G59" si="13">L4</f>
        <v>50845.56</v>
      </c>
      <c r="H56" s="317"/>
      <c r="I56" s="301">
        <f t="shared" ref="I56:I59" si="14">V4</f>
        <v>50845.56</v>
      </c>
      <c r="J56" s="317"/>
    </row>
    <row r="57">
      <c r="A57" s="299"/>
      <c r="B57" s="300" t="str">
        <f>Model!B119</f>
        <v>Meet Financial Goal: Purchasing NE London Property</v>
      </c>
      <c r="C57" s="301">
        <f t="shared" si="11"/>
        <v>-33976.55963</v>
      </c>
      <c r="D57" s="318">
        <f t="shared" ref="D57:D74" si="15">C57/$C$56</f>
        <v>-0.6682306112</v>
      </c>
      <c r="E57" s="301">
        <f t="shared" si="12"/>
        <v>-33976.55963</v>
      </c>
      <c r="F57" s="318">
        <f t="shared" ref="F57:F74" si="16">E57/$E$56</f>
        <v>-0.6682306112</v>
      </c>
      <c r="G57" s="301">
        <f t="shared" si="13"/>
        <v>-33976.55963</v>
      </c>
      <c r="H57" s="318">
        <f t="shared" ref="H57:H74" si="17">G57/$G$56</f>
        <v>-0.6682306112</v>
      </c>
      <c r="I57" s="301">
        <f t="shared" si="14"/>
        <v>-33976.55963</v>
      </c>
      <c r="J57" s="318">
        <f t="shared" ref="J57:J74" si="18">I57/$I$56</f>
        <v>-0.6682306112</v>
      </c>
    </row>
    <row r="58">
      <c r="A58" s="299"/>
      <c r="B58" s="300" t="str">
        <f>Model!B167</f>
        <v>Meet Financial Goal: Short Term Expenses</v>
      </c>
      <c r="C58" s="301">
        <f t="shared" si="11"/>
        <v>0</v>
      </c>
      <c r="D58" s="318">
        <f t="shared" si="15"/>
        <v>0</v>
      </c>
      <c r="E58" s="301">
        <f t="shared" si="12"/>
        <v>0</v>
      </c>
      <c r="F58" s="318">
        <f t="shared" si="16"/>
        <v>0</v>
      </c>
      <c r="G58" s="301">
        <f t="shared" si="13"/>
        <v>0</v>
      </c>
      <c r="H58" s="318">
        <f t="shared" si="17"/>
        <v>0</v>
      </c>
      <c r="I58" s="301">
        <f t="shared" si="14"/>
        <v>0</v>
      </c>
      <c r="J58" s="318">
        <f t="shared" si="18"/>
        <v>0</v>
      </c>
    </row>
    <row r="59">
      <c r="A59" s="302"/>
      <c r="B59" s="300" t="str">
        <f>Model!B204</f>
        <v>Meet Financial Goal: Comfortable Retirement</v>
      </c>
      <c r="C59" s="301">
        <f t="shared" si="11"/>
        <v>-15315.39512</v>
      </c>
      <c r="D59" s="318">
        <f t="shared" si="15"/>
        <v>-0.301214012</v>
      </c>
      <c r="E59" s="301">
        <f t="shared" si="12"/>
        <v>-15315.39512</v>
      </c>
      <c r="F59" s="318">
        <f t="shared" si="16"/>
        <v>-0.301214012</v>
      </c>
      <c r="G59" s="301">
        <f t="shared" si="13"/>
        <v>-15315.39512</v>
      </c>
      <c r="H59" s="318">
        <f t="shared" si="17"/>
        <v>-0.301214012</v>
      </c>
      <c r="I59" s="301">
        <f t="shared" si="14"/>
        <v>-15315.39512</v>
      </c>
      <c r="J59" s="318">
        <f t="shared" si="18"/>
        <v>-0.301214012</v>
      </c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9"/>
      <c r="AH59" s="319"/>
      <c r="AI59" s="319"/>
      <c r="AJ59" s="319"/>
      <c r="AK59" s="319"/>
      <c r="AL59" s="319"/>
      <c r="AM59" s="319"/>
      <c r="AN59" s="319"/>
      <c r="AO59" s="319"/>
      <c r="AP59" s="319"/>
      <c r="AQ59" s="319"/>
      <c r="AR59" s="319"/>
      <c r="AS59" s="319"/>
      <c r="AT59" s="319"/>
      <c r="AU59" s="319"/>
      <c r="AV59" s="319"/>
      <c r="AW59" s="319"/>
      <c r="AX59" s="319"/>
    </row>
    <row r="60">
      <c r="A60" s="302"/>
      <c r="B60" s="303" t="s">
        <v>562</v>
      </c>
      <c r="C60" s="298">
        <f>sum(C57:C59)</f>
        <v>-49291.95475</v>
      </c>
      <c r="D60" s="320">
        <f t="shared" si="15"/>
        <v>-0.9694446231</v>
      </c>
      <c r="E60" s="298">
        <f>sum(E57:E59)</f>
        <v>-49291.95475</v>
      </c>
      <c r="F60" s="320">
        <f t="shared" si="16"/>
        <v>-0.9694446231</v>
      </c>
      <c r="G60" s="298">
        <f>sum(G57:G59)</f>
        <v>-49291.95475</v>
      </c>
      <c r="H60" s="320">
        <f t="shared" si="17"/>
        <v>-0.9694446231</v>
      </c>
      <c r="I60" s="298">
        <f>sum(I57:I59)</f>
        <v>-49291.95475</v>
      </c>
      <c r="J60" s="320">
        <f t="shared" si="18"/>
        <v>-0.9694446231</v>
      </c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319"/>
      <c r="AD60" s="319"/>
      <c r="AE60" s="319"/>
      <c r="AF60" s="319"/>
      <c r="AG60" s="319"/>
      <c r="AH60" s="319"/>
      <c r="AI60" s="319"/>
      <c r="AJ60" s="319"/>
      <c r="AK60" s="319"/>
      <c r="AL60" s="319"/>
      <c r="AM60" s="319"/>
      <c r="AN60" s="319"/>
      <c r="AO60" s="319"/>
      <c r="AP60" s="319"/>
      <c r="AQ60" s="319"/>
      <c r="AR60" s="319"/>
      <c r="AS60" s="319"/>
      <c r="AT60" s="319"/>
      <c r="AU60" s="319"/>
      <c r="AV60" s="319"/>
      <c r="AW60" s="319"/>
      <c r="AX60" s="319"/>
    </row>
    <row r="61">
      <c r="A61" s="304"/>
      <c r="B61" s="305" t="s">
        <v>534</v>
      </c>
      <c r="C61" s="301">
        <f t="shared" ref="C61:C63" si="19">C9</f>
        <v>2160</v>
      </c>
      <c r="D61" s="318">
        <f t="shared" si="15"/>
        <v>0.04248158541</v>
      </c>
      <c r="E61" s="301">
        <f t="shared" ref="E61:E63" si="20">G9</f>
        <v>2338.053466</v>
      </c>
      <c r="F61" s="318">
        <f t="shared" si="16"/>
        <v>0.04598343426</v>
      </c>
      <c r="G61" s="301">
        <f t="shared" ref="G61:G63" si="21">I9</f>
        <v>2432.510826</v>
      </c>
      <c r="H61" s="318">
        <f t="shared" si="17"/>
        <v>0.047841165</v>
      </c>
      <c r="I61" s="301">
        <f t="shared" ref="I61:I63" si="22">V9</f>
        <v>3146.712133</v>
      </c>
      <c r="J61" s="318">
        <f t="shared" si="18"/>
        <v>0.06188764826</v>
      </c>
    </row>
    <row r="62">
      <c r="A62" s="304"/>
      <c r="B62" s="305" t="s">
        <v>535</v>
      </c>
      <c r="C62" s="301">
        <f t="shared" si="19"/>
        <v>0</v>
      </c>
      <c r="D62" s="318">
        <f t="shared" si="15"/>
        <v>0</v>
      </c>
      <c r="E62" s="301">
        <f t="shared" si="20"/>
        <v>0</v>
      </c>
      <c r="F62" s="318">
        <f t="shared" si="16"/>
        <v>0</v>
      </c>
      <c r="G62" s="301">
        <f t="shared" si="21"/>
        <v>0</v>
      </c>
      <c r="H62" s="318">
        <f t="shared" si="17"/>
        <v>0</v>
      </c>
      <c r="I62" s="301">
        <f t="shared" si="22"/>
        <v>0</v>
      </c>
      <c r="J62" s="318">
        <f t="shared" si="18"/>
        <v>0</v>
      </c>
    </row>
    <row r="63">
      <c r="A63" s="304"/>
      <c r="B63" s="305" t="s">
        <v>536</v>
      </c>
      <c r="C63" s="301">
        <f t="shared" si="19"/>
        <v>2070</v>
      </c>
      <c r="D63" s="318">
        <f t="shared" si="15"/>
        <v>0.04071151935</v>
      </c>
      <c r="E63" s="301">
        <f t="shared" si="20"/>
        <v>2070</v>
      </c>
      <c r="F63" s="318">
        <f t="shared" si="16"/>
        <v>0.04071151935</v>
      </c>
      <c r="G63" s="301">
        <f t="shared" si="21"/>
        <v>2070</v>
      </c>
      <c r="H63" s="318">
        <f t="shared" si="17"/>
        <v>0.04071151935</v>
      </c>
      <c r="I63" s="301">
        <f t="shared" si="22"/>
        <v>2070</v>
      </c>
      <c r="J63" s="318">
        <f t="shared" si="18"/>
        <v>0.04071151935</v>
      </c>
    </row>
    <row r="64">
      <c r="A64" s="306"/>
      <c r="B64" s="307" t="s">
        <v>563</v>
      </c>
      <c r="C64" s="298">
        <f>sum(C61:C63)</f>
        <v>4230</v>
      </c>
      <c r="D64" s="320">
        <f t="shared" si="15"/>
        <v>0.08319310477</v>
      </c>
      <c r="E64" s="298">
        <f>sum(E61:E63)</f>
        <v>4408.053466</v>
      </c>
      <c r="F64" s="320">
        <f t="shared" si="16"/>
        <v>0.08669495361</v>
      </c>
      <c r="G64" s="298">
        <f>sum(G61:G63)</f>
        <v>4502.510826</v>
      </c>
      <c r="H64" s="320">
        <f t="shared" si="17"/>
        <v>0.08855268436</v>
      </c>
      <c r="I64" s="298">
        <f>sum(I61:I63)</f>
        <v>5216.712133</v>
      </c>
      <c r="J64" s="320">
        <f t="shared" si="18"/>
        <v>0.1025991676</v>
      </c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319"/>
      <c r="AQ64" s="319"/>
      <c r="AR64" s="319"/>
      <c r="AS64" s="319"/>
      <c r="AT64" s="319"/>
      <c r="AU64" s="319"/>
      <c r="AV64" s="319"/>
      <c r="AW64" s="319"/>
      <c r="AX64" s="319"/>
    </row>
    <row r="65">
      <c r="A65" s="304"/>
      <c r="B65" s="305" t="s">
        <v>554</v>
      </c>
      <c r="C65" s="301">
        <f t="shared" ref="C65:C72" si="23">C14</f>
        <v>0</v>
      </c>
      <c r="D65" s="318">
        <f t="shared" si="15"/>
        <v>0</v>
      </c>
      <c r="E65" s="301">
        <f t="shared" ref="E65:E72" si="24">G14</f>
        <v>0</v>
      </c>
      <c r="F65" s="318">
        <f t="shared" si="16"/>
        <v>0</v>
      </c>
      <c r="G65" s="301">
        <f t="shared" ref="G65:G72" si="25">I14</f>
        <v>0</v>
      </c>
      <c r="H65" s="318">
        <f t="shared" si="17"/>
        <v>0</v>
      </c>
      <c r="I65" s="301">
        <f t="shared" ref="I65:I72" si="26">V14</f>
        <v>0</v>
      </c>
      <c r="J65" s="318">
        <f t="shared" si="18"/>
        <v>0</v>
      </c>
    </row>
    <row r="66">
      <c r="A66" s="304"/>
      <c r="B66" s="305" t="s">
        <v>540</v>
      </c>
      <c r="C66" s="309">
        <f t="shared" si="23"/>
        <v>0</v>
      </c>
      <c r="D66" s="321">
        <f t="shared" si="15"/>
        <v>0</v>
      </c>
      <c r="E66" s="309">
        <f t="shared" si="24"/>
        <v>0</v>
      </c>
      <c r="F66" s="321">
        <f t="shared" si="16"/>
        <v>0</v>
      </c>
      <c r="G66" s="309">
        <f t="shared" si="25"/>
        <v>0</v>
      </c>
      <c r="H66" s="321">
        <f t="shared" si="17"/>
        <v>0</v>
      </c>
      <c r="I66" s="309">
        <f t="shared" si="26"/>
        <v>0</v>
      </c>
      <c r="J66" s="321">
        <f t="shared" si="18"/>
        <v>0</v>
      </c>
    </row>
    <row r="67">
      <c r="A67" s="304"/>
      <c r="B67" s="305" t="s">
        <v>555</v>
      </c>
      <c r="C67" s="301">
        <f t="shared" si="23"/>
        <v>0</v>
      </c>
      <c r="D67" s="318">
        <f t="shared" si="15"/>
        <v>0</v>
      </c>
      <c r="E67" s="301">
        <f t="shared" si="24"/>
        <v>0</v>
      </c>
      <c r="F67" s="318">
        <f t="shared" si="16"/>
        <v>0</v>
      </c>
      <c r="G67" s="301">
        <f t="shared" si="25"/>
        <v>0</v>
      </c>
      <c r="H67" s="318">
        <f t="shared" si="17"/>
        <v>0</v>
      </c>
      <c r="I67" s="301">
        <f t="shared" si="26"/>
        <v>0</v>
      </c>
      <c r="J67" s="318">
        <f t="shared" si="18"/>
        <v>0</v>
      </c>
    </row>
    <row r="68">
      <c r="A68" s="304"/>
      <c r="B68" s="305" t="s">
        <v>556</v>
      </c>
      <c r="C68" s="301">
        <f t="shared" si="23"/>
        <v>21.12903138</v>
      </c>
      <c r="D68" s="318">
        <f t="shared" si="15"/>
        <v>0.0004155531256</v>
      </c>
      <c r="E68" s="301">
        <f t="shared" si="24"/>
        <v>105.6451569</v>
      </c>
      <c r="F68" s="318">
        <f t="shared" si="16"/>
        <v>0.002077765628</v>
      </c>
      <c r="G68" s="301">
        <f t="shared" si="25"/>
        <v>147.9032197</v>
      </c>
      <c r="H68" s="318">
        <f t="shared" si="17"/>
        <v>0.002908871879</v>
      </c>
      <c r="I68" s="301">
        <f t="shared" si="26"/>
        <v>422.5806276</v>
      </c>
      <c r="J68" s="318">
        <f t="shared" si="18"/>
        <v>0.008311062511</v>
      </c>
    </row>
    <row r="69">
      <c r="A69" s="304"/>
      <c r="B69" s="305" t="s">
        <v>543</v>
      </c>
      <c r="C69" s="301">
        <f t="shared" si="23"/>
        <v>498.2225562</v>
      </c>
      <c r="D69" s="318">
        <f t="shared" si="15"/>
        <v>0.009798742627</v>
      </c>
      <c r="E69" s="301">
        <f t="shared" si="24"/>
        <v>1183.998862</v>
      </c>
      <c r="F69" s="318">
        <f t="shared" si="16"/>
        <v>0.02328617998</v>
      </c>
      <c r="G69" s="301">
        <f t="shared" si="25"/>
        <v>1703.906831</v>
      </c>
      <c r="H69" s="318">
        <f t="shared" si="17"/>
        <v>0.03351141833</v>
      </c>
      <c r="I69" s="301">
        <f t="shared" si="26"/>
        <v>11895.48188</v>
      </c>
      <c r="J69" s="318">
        <f t="shared" si="18"/>
        <v>0.2339532082</v>
      </c>
    </row>
    <row r="70">
      <c r="A70" s="304"/>
      <c r="B70" s="305" t="s">
        <v>544</v>
      </c>
      <c r="C70" s="301">
        <f t="shared" si="23"/>
        <v>122.76435</v>
      </c>
      <c r="D70" s="318">
        <f t="shared" si="15"/>
        <v>0.002414455657</v>
      </c>
      <c r="E70" s="301">
        <f t="shared" si="24"/>
        <v>545.2731563</v>
      </c>
      <c r="F70" s="318">
        <f t="shared" si="16"/>
        <v>0.01072410563</v>
      </c>
      <c r="G70" s="301">
        <f t="shared" si="25"/>
        <v>880.1417418</v>
      </c>
      <c r="H70" s="318">
        <f t="shared" si="17"/>
        <v>0.01731010027</v>
      </c>
      <c r="I70" s="301">
        <f t="shared" si="26"/>
        <v>7618.55748</v>
      </c>
      <c r="J70" s="318">
        <f t="shared" si="18"/>
        <v>0.1498372224</v>
      </c>
    </row>
    <row r="71">
      <c r="A71" s="304"/>
      <c r="B71" s="305" t="s">
        <v>545</v>
      </c>
      <c r="C71" s="301">
        <f t="shared" si="23"/>
        <v>-1553.605248</v>
      </c>
      <c r="D71" s="318">
        <f t="shared" si="15"/>
        <v>-0.03055537688</v>
      </c>
      <c r="E71" s="301">
        <f t="shared" si="24"/>
        <v>-1553.605248</v>
      </c>
      <c r="F71" s="318">
        <f t="shared" si="16"/>
        <v>-0.03055537688</v>
      </c>
      <c r="G71" s="301">
        <f t="shared" si="25"/>
        <v>-1553.605248</v>
      </c>
      <c r="H71" s="318">
        <f t="shared" si="17"/>
        <v>-0.03055537688</v>
      </c>
      <c r="I71" s="301">
        <f t="shared" si="26"/>
        <v>-1553.605248</v>
      </c>
      <c r="J71" s="318">
        <f t="shared" si="18"/>
        <v>-0.03055537688</v>
      </c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319"/>
      <c r="AQ71" s="319"/>
      <c r="AR71" s="319"/>
      <c r="AS71" s="319"/>
      <c r="AT71" s="319"/>
      <c r="AU71" s="319"/>
      <c r="AV71" s="319"/>
      <c r="AW71" s="319"/>
      <c r="AX71" s="319"/>
    </row>
    <row r="72">
      <c r="A72" s="306"/>
      <c r="B72" s="307" t="s">
        <v>546</v>
      </c>
      <c r="C72" s="322">
        <f t="shared" si="23"/>
        <v>642.1159375</v>
      </c>
      <c r="D72" s="323">
        <f t="shared" si="15"/>
        <v>0.01262875141</v>
      </c>
      <c r="E72" s="322">
        <f t="shared" si="24"/>
        <v>1834.917175</v>
      </c>
      <c r="F72" s="323">
        <f t="shared" si="16"/>
        <v>0.03608805124</v>
      </c>
      <c r="G72" s="322">
        <f t="shared" si="25"/>
        <v>2731.951793</v>
      </c>
      <c r="H72" s="323">
        <f t="shared" si="17"/>
        <v>0.05373039047</v>
      </c>
      <c r="I72" s="322">
        <f t="shared" si="26"/>
        <v>19936.61999</v>
      </c>
      <c r="J72" s="323">
        <f t="shared" si="18"/>
        <v>0.3921014931</v>
      </c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319"/>
      <c r="AQ72" s="319"/>
      <c r="AR72" s="319"/>
      <c r="AS72" s="319"/>
      <c r="AT72" s="319"/>
      <c r="AU72" s="319"/>
      <c r="AV72" s="319"/>
      <c r="AW72" s="319"/>
      <c r="AX72" s="319"/>
    </row>
    <row r="73">
      <c r="A73" s="304"/>
      <c r="B73" s="305" t="s">
        <v>548</v>
      </c>
      <c r="C73" s="317"/>
      <c r="D73" s="318">
        <f t="shared" si="15"/>
        <v>0</v>
      </c>
      <c r="E73" s="317"/>
      <c r="F73" s="318">
        <f t="shared" si="16"/>
        <v>0</v>
      </c>
      <c r="G73" s="317"/>
      <c r="H73" s="318">
        <f t="shared" si="17"/>
        <v>0</v>
      </c>
      <c r="I73" s="317"/>
      <c r="J73" s="318">
        <f t="shared" si="18"/>
        <v>0</v>
      </c>
    </row>
    <row r="74">
      <c r="A74" s="304"/>
      <c r="B74" s="305" t="s">
        <v>549</v>
      </c>
      <c r="C74" s="317"/>
      <c r="D74" s="318">
        <f t="shared" si="15"/>
        <v>0</v>
      </c>
      <c r="E74" s="317"/>
      <c r="F74" s="318">
        <f t="shared" si="16"/>
        <v>0</v>
      </c>
      <c r="G74" s="317"/>
      <c r="H74" s="318">
        <f t="shared" si="17"/>
        <v>0</v>
      </c>
      <c r="I74" s="317"/>
      <c r="J74" s="318">
        <f t="shared" si="18"/>
        <v>0</v>
      </c>
    </row>
    <row r="75">
      <c r="B75" s="30"/>
    </row>
    <row r="76">
      <c r="B76" s="30"/>
    </row>
    <row r="77">
      <c r="B77" s="30"/>
    </row>
    <row r="78">
      <c r="B78" s="311" t="s">
        <v>564</v>
      </c>
    </row>
    <row r="79">
      <c r="B79" s="311"/>
    </row>
    <row r="80">
      <c r="B80" s="30"/>
      <c r="C80" s="314" t="s">
        <v>558</v>
      </c>
      <c r="D80" s="21"/>
      <c r="E80" s="314" t="s">
        <v>559</v>
      </c>
      <c r="F80" s="21"/>
      <c r="G80" s="314" t="s">
        <v>560</v>
      </c>
      <c r="H80" s="21"/>
      <c r="I80" s="314" t="s">
        <v>561</v>
      </c>
      <c r="J80" s="21"/>
    </row>
    <row r="81">
      <c r="B81" s="30"/>
      <c r="C81" s="315" t="s">
        <v>345</v>
      </c>
      <c r="D81" s="316" t="s">
        <v>251</v>
      </c>
      <c r="E81" s="315" t="s">
        <v>345</v>
      </c>
      <c r="F81" s="316" t="s">
        <v>251</v>
      </c>
      <c r="G81" s="315" t="s">
        <v>345</v>
      </c>
      <c r="H81" s="316" t="s">
        <v>251</v>
      </c>
      <c r="I81" s="315" t="s">
        <v>345</v>
      </c>
      <c r="J81" s="316" t="s">
        <v>251</v>
      </c>
    </row>
    <row r="82">
      <c r="A82" s="296"/>
      <c r="B82" s="297" t="s">
        <v>551</v>
      </c>
      <c r="C82" s="301">
        <f t="shared" ref="C82:C85" si="27">C31</f>
        <v>-89181.92327</v>
      </c>
      <c r="D82" s="317"/>
      <c r="E82" s="301">
        <f t="shared" ref="E82:E85" si="28">G31</f>
        <v>280516.7113</v>
      </c>
      <c r="F82" s="317"/>
      <c r="G82" s="301">
        <f t="shared" ref="G82:G85" si="29">L31</f>
        <v>785320.4151</v>
      </c>
      <c r="H82" s="317"/>
      <c r="I82" s="301">
        <f>V31</f>
        <v>1851826.425</v>
      </c>
      <c r="J82" s="317"/>
    </row>
    <row r="83">
      <c r="A83" s="299"/>
      <c r="B83" s="300" t="str">
        <f>Model!B119</f>
        <v>Meet Financial Goal: Purchasing NE London Property</v>
      </c>
      <c r="C83" s="301">
        <f t="shared" si="27"/>
        <v>-22959.2576</v>
      </c>
      <c r="D83" s="318">
        <f t="shared" ref="D83:D100" si="30">C83/C$82</f>
        <v>0.2574429521</v>
      </c>
      <c r="E83" s="301">
        <f t="shared" si="28"/>
        <v>13.60014325</v>
      </c>
      <c r="F83" s="318">
        <f t="shared" ref="F83:F100" si="31">E83/E$82</f>
        <v>0.00004848247075</v>
      </c>
      <c r="G83" s="301">
        <f t="shared" si="29"/>
        <v>56455.85512</v>
      </c>
      <c r="H83" s="318">
        <f t="shared" ref="H83:H100" si="32">G83/G$82</f>
        <v>0.07188894372</v>
      </c>
      <c r="I83" s="301">
        <f t="shared" ref="I83:I85" si="33">N32</f>
        <v>88879.91129</v>
      </c>
      <c r="J83" s="318">
        <f t="shared" ref="J83:J100" si="34">I83/I$82</f>
        <v>0.04799581111</v>
      </c>
    </row>
    <row r="84">
      <c r="A84" s="299"/>
      <c r="B84" s="300" t="str">
        <f>Model!B167</f>
        <v>Meet Financial Goal: Short Term Expenses</v>
      </c>
      <c r="C84" s="301">
        <f t="shared" si="27"/>
        <v>-15800</v>
      </c>
      <c r="D84" s="318">
        <f t="shared" si="30"/>
        <v>0.1771659482</v>
      </c>
      <c r="E84" s="301">
        <f t="shared" si="28"/>
        <v>-15800</v>
      </c>
      <c r="F84" s="318">
        <f t="shared" si="31"/>
        <v>-0.0563246301</v>
      </c>
      <c r="G84" s="301">
        <f t="shared" si="29"/>
        <v>-15800</v>
      </c>
      <c r="H84" s="318">
        <f t="shared" si="32"/>
        <v>-0.02011917645</v>
      </c>
      <c r="I84" s="301">
        <f t="shared" si="33"/>
        <v>-15800</v>
      </c>
      <c r="J84" s="318">
        <f t="shared" si="34"/>
        <v>-0.008532117151</v>
      </c>
    </row>
    <row r="85">
      <c r="A85" s="302"/>
      <c r="B85" s="300" t="str">
        <f>Model!B204</f>
        <v>Meet Financial Goal: Comfortable Retirement</v>
      </c>
      <c r="C85" s="301">
        <f t="shared" si="27"/>
        <v>459.4618535</v>
      </c>
      <c r="D85" s="318">
        <f t="shared" si="30"/>
        <v>-0.005151961706</v>
      </c>
      <c r="E85" s="301">
        <f t="shared" si="28"/>
        <v>68435.46293</v>
      </c>
      <c r="F85" s="318">
        <f t="shared" si="31"/>
        <v>0.2439621604</v>
      </c>
      <c r="G85" s="301">
        <f t="shared" si="29"/>
        <v>165525.6614</v>
      </c>
      <c r="H85" s="318">
        <f t="shared" si="32"/>
        <v>0.2107746828</v>
      </c>
      <c r="I85" s="301">
        <f t="shared" si="33"/>
        <v>208561.8413</v>
      </c>
      <c r="J85" s="318">
        <f t="shared" si="34"/>
        <v>0.1126249407</v>
      </c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319"/>
      <c r="AB85" s="319"/>
      <c r="AC85" s="319"/>
      <c r="AD85" s="319"/>
      <c r="AE85" s="319"/>
      <c r="AF85" s="319"/>
      <c r="AG85" s="319"/>
      <c r="AH85" s="319"/>
      <c r="AI85" s="319"/>
      <c r="AJ85" s="319"/>
      <c r="AK85" s="319"/>
      <c r="AL85" s="319"/>
      <c r="AM85" s="319"/>
      <c r="AN85" s="319"/>
      <c r="AO85" s="319"/>
      <c r="AP85" s="319"/>
      <c r="AQ85" s="319"/>
      <c r="AR85" s="319"/>
      <c r="AS85" s="319"/>
      <c r="AT85" s="319"/>
      <c r="AU85" s="319"/>
      <c r="AV85" s="319"/>
      <c r="AW85" s="319"/>
      <c r="AX85" s="319"/>
    </row>
    <row r="86">
      <c r="A86" s="302"/>
      <c r="B86" s="303" t="s">
        <v>565</v>
      </c>
      <c r="C86" s="298">
        <f>sum(C83:C85)</f>
        <v>-38299.79575</v>
      </c>
      <c r="D86" s="320">
        <f t="shared" si="30"/>
        <v>0.4294569386</v>
      </c>
      <c r="E86" s="298">
        <f>sum(E83:E85)</f>
        <v>52649.06307</v>
      </c>
      <c r="F86" s="320">
        <f t="shared" si="31"/>
        <v>0.1876860128</v>
      </c>
      <c r="G86" s="298">
        <f>sum(G83:G85)</f>
        <v>206181.5165</v>
      </c>
      <c r="H86" s="320">
        <f t="shared" si="32"/>
        <v>0.26254445</v>
      </c>
      <c r="I86" s="298">
        <f>sum(I83:I85)</f>
        <v>281641.7526</v>
      </c>
      <c r="J86" s="320">
        <f t="shared" si="34"/>
        <v>0.1520886347</v>
      </c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19"/>
      <c r="AL86" s="319"/>
      <c r="AM86" s="319"/>
      <c r="AN86" s="319"/>
      <c r="AO86" s="319"/>
      <c r="AP86" s="319"/>
      <c r="AQ86" s="319"/>
      <c r="AR86" s="319"/>
      <c r="AS86" s="319"/>
      <c r="AT86" s="319"/>
      <c r="AU86" s="319"/>
      <c r="AV86" s="319"/>
      <c r="AW86" s="319"/>
      <c r="AX86" s="319"/>
    </row>
    <row r="87">
      <c r="A87" s="304"/>
      <c r="B87" s="305" t="s">
        <v>534</v>
      </c>
      <c r="C87" s="301">
        <f t="shared" ref="C87:C89" si="35">C36</f>
        <v>2160</v>
      </c>
      <c r="D87" s="318">
        <f t="shared" si="30"/>
        <v>-0.02422015495</v>
      </c>
      <c r="E87" s="301">
        <f t="shared" ref="E87:E89" si="36">G36</f>
        <v>11240.72675</v>
      </c>
      <c r="F87" s="318">
        <f t="shared" si="31"/>
        <v>0.04007150481</v>
      </c>
      <c r="G87" s="301">
        <f t="shared" ref="G87:G89" si="37">L36</f>
        <v>23651.39736</v>
      </c>
      <c r="H87" s="318">
        <f t="shared" si="32"/>
        <v>0.03011687574</v>
      </c>
      <c r="I87" s="301">
        <f t="shared" ref="I87:I89" si="38">N36</f>
        <v>28970.11381</v>
      </c>
      <c r="J87" s="318">
        <f t="shared" si="34"/>
        <v>0.01564407626</v>
      </c>
    </row>
    <row r="88">
      <c r="A88" s="304"/>
      <c r="B88" s="305" t="s">
        <v>535</v>
      </c>
      <c r="C88" s="301">
        <f t="shared" si="35"/>
        <v>0</v>
      </c>
      <c r="D88" s="318">
        <f t="shared" si="30"/>
        <v>0</v>
      </c>
      <c r="E88" s="301">
        <f t="shared" si="36"/>
        <v>0</v>
      </c>
      <c r="F88" s="318">
        <f t="shared" si="31"/>
        <v>0</v>
      </c>
      <c r="G88" s="301">
        <f t="shared" si="37"/>
        <v>0</v>
      </c>
      <c r="H88" s="318">
        <f t="shared" si="32"/>
        <v>0</v>
      </c>
      <c r="I88" s="301">
        <f t="shared" si="38"/>
        <v>0</v>
      </c>
      <c r="J88" s="318">
        <f t="shared" si="34"/>
        <v>0</v>
      </c>
    </row>
    <row r="89">
      <c r="A89" s="304"/>
      <c r="B89" s="305" t="s">
        <v>536</v>
      </c>
      <c r="C89" s="301">
        <f t="shared" si="35"/>
        <v>2070</v>
      </c>
      <c r="D89" s="318">
        <f t="shared" si="30"/>
        <v>-0.02321098182</v>
      </c>
      <c r="E89" s="301">
        <f t="shared" si="36"/>
        <v>10350</v>
      </c>
      <c r="F89" s="318">
        <f t="shared" si="31"/>
        <v>0.03689619756</v>
      </c>
      <c r="G89" s="301">
        <f t="shared" si="37"/>
        <v>20700</v>
      </c>
      <c r="H89" s="318">
        <f t="shared" si="32"/>
        <v>0.02635866788</v>
      </c>
      <c r="I89" s="301">
        <f t="shared" si="38"/>
        <v>24840</v>
      </c>
      <c r="J89" s="318">
        <f t="shared" si="34"/>
        <v>0.01341378418</v>
      </c>
    </row>
    <row r="90">
      <c r="A90" s="306"/>
      <c r="B90" s="307" t="s">
        <v>566</v>
      </c>
      <c r="C90" s="298">
        <f>sum(C87:C89)</f>
        <v>4230</v>
      </c>
      <c r="D90" s="320">
        <f t="shared" si="30"/>
        <v>-0.04743113677</v>
      </c>
      <c r="E90" s="298">
        <f>sum(E87:E89)</f>
        <v>21590.72675</v>
      </c>
      <c r="F90" s="320">
        <f t="shared" si="31"/>
        <v>0.07696770237</v>
      </c>
      <c r="G90" s="298">
        <f>sum(G87:G89)</f>
        <v>44351.39736</v>
      </c>
      <c r="H90" s="320">
        <f t="shared" si="32"/>
        <v>0.05647554362</v>
      </c>
      <c r="I90" s="298">
        <f>sum(I87:I89)</f>
        <v>53810.11381</v>
      </c>
      <c r="J90" s="320">
        <f t="shared" si="34"/>
        <v>0.02905786044</v>
      </c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19"/>
      <c r="AL90" s="319"/>
      <c r="AM90" s="319"/>
      <c r="AN90" s="319"/>
      <c r="AO90" s="319"/>
      <c r="AP90" s="319"/>
      <c r="AQ90" s="319"/>
      <c r="AR90" s="319"/>
      <c r="AS90" s="319"/>
      <c r="AT90" s="319"/>
      <c r="AU90" s="319"/>
      <c r="AV90" s="319"/>
      <c r="AW90" s="319"/>
      <c r="AX90" s="319"/>
    </row>
    <row r="91">
      <c r="A91" s="304"/>
      <c r="B91" s="305" t="s">
        <v>554</v>
      </c>
      <c r="C91" s="301">
        <f t="shared" ref="C91:C98" si="39">C40</f>
        <v>0</v>
      </c>
      <c r="D91" s="318">
        <f t="shared" si="30"/>
        <v>0</v>
      </c>
      <c r="E91" s="301">
        <f t="shared" ref="E91:E98" si="40">G40</f>
        <v>563.1288868</v>
      </c>
      <c r="F91" s="318">
        <f t="shared" si="31"/>
        <v>0.002007470015</v>
      </c>
      <c r="G91" s="301">
        <f t="shared" ref="G91:G98" si="41">L40</f>
        <v>2689.901501</v>
      </c>
      <c r="H91" s="318">
        <f t="shared" si="32"/>
        <v>0.003425228034</v>
      </c>
      <c r="I91" s="301">
        <f t="shared" ref="I91:I98" si="42">N40</f>
        <v>4042.421258</v>
      </c>
      <c r="J91" s="318">
        <f t="shared" si="34"/>
        <v>0.002182937452</v>
      </c>
    </row>
    <row r="92">
      <c r="A92" s="304"/>
      <c r="B92" s="305" t="s">
        <v>540</v>
      </c>
      <c r="C92" s="301">
        <f t="shared" si="39"/>
        <v>0</v>
      </c>
      <c r="D92" s="318">
        <f t="shared" si="30"/>
        <v>0</v>
      </c>
      <c r="E92" s="301">
        <f t="shared" si="40"/>
        <v>0</v>
      </c>
      <c r="F92" s="318">
        <f t="shared" si="31"/>
        <v>0</v>
      </c>
      <c r="G92" s="301">
        <f t="shared" si="41"/>
        <v>0</v>
      </c>
      <c r="H92" s="318">
        <f t="shared" si="32"/>
        <v>0</v>
      </c>
      <c r="I92" s="301">
        <f t="shared" si="42"/>
        <v>0</v>
      </c>
      <c r="J92" s="318">
        <f t="shared" si="34"/>
        <v>0</v>
      </c>
    </row>
    <row r="93">
      <c r="A93" s="304"/>
      <c r="B93" s="305" t="s">
        <v>555</v>
      </c>
      <c r="C93" s="301">
        <f t="shared" si="39"/>
        <v>0</v>
      </c>
      <c r="D93" s="318">
        <f t="shared" si="30"/>
        <v>0</v>
      </c>
      <c r="E93" s="301">
        <f t="shared" si="40"/>
        <v>0</v>
      </c>
      <c r="F93" s="318">
        <f t="shared" si="31"/>
        <v>0</v>
      </c>
      <c r="G93" s="301">
        <f t="shared" si="41"/>
        <v>0</v>
      </c>
      <c r="H93" s="318">
        <f t="shared" si="32"/>
        <v>0</v>
      </c>
      <c r="I93" s="301">
        <f t="shared" si="42"/>
        <v>0</v>
      </c>
      <c r="J93" s="318">
        <f t="shared" si="34"/>
        <v>0</v>
      </c>
    </row>
    <row r="94">
      <c r="A94" s="304"/>
      <c r="B94" s="305" t="s">
        <v>556</v>
      </c>
      <c r="C94" s="301">
        <f t="shared" si="39"/>
        <v>21.12903138</v>
      </c>
      <c r="D94" s="318">
        <f t="shared" si="30"/>
        <v>-0.000236920562</v>
      </c>
      <c r="E94" s="301">
        <f t="shared" si="40"/>
        <v>1513.643939</v>
      </c>
      <c r="F94" s="318">
        <f t="shared" si="31"/>
        <v>0.005395913605</v>
      </c>
      <c r="G94" s="301">
        <f t="shared" si="41"/>
        <v>7264.484003</v>
      </c>
      <c r="H94" s="318">
        <f t="shared" si="32"/>
        <v>0.009250344017</v>
      </c>
      <c r="I94" s="301">
        <f t="shared" si="42"/>
        <v>11076.03832</v>
      </c>
      <c r="J94" s="318">
        <f t="shared" si="34"/>
        <v>0.005981142818</v>
      </c>
    </row>
    <row r="95">
      <c r="A95" s="304"/>
      <c r="B95" s="305" t="s">
        <v>543</v>
      </c>
      <c r="C95" s="301">
        <f t="shared" si="39"/>
        <v>3831.342556</v>
      </c>
      <c r="D95" s="318">
        <f t="shared" si="30"/>
        <v>-0.04296097702</v>
      </c>
      <c r="E95" s="301">
        <f t="shared" si="40"/>
        <v>36030.03216</v>
      </c>
      <c r="F95" s="318">
        <f t="shared" si="31"/>
        <v>0.1284416604</v>
      </c>
      <c r="G95" s="301">
        <f t="shared" si="41"/>
        <v>117465.5445</v>
      </c>
      <c r="H95" s="318">
        <f t="shared" si="32"/>
        <v>0.1495765833</v>
      </c>
      <c r="I95" s="301">
        <f t="shared" si="42"/>
        <v>170408.1421</v>
      </c>
      <c r="J95" s="318">
        <f t="shared" si="34"/>
        <v>0.09202166028</v>
      </c>
    </row>
    <row r="96">
      <c r="A96" s="304"/>
      <c r="B96" s="305" t="s">
        <v>544</v>
      </c>
      <c r="C96" s="301">
        <f t="shared" si="39"/>
        <v>572.76435</v>
      </c>
      <c r="D96" s="318">
        <f t="shared" si="30"/>
        <v>-0.00642242653</v>
      </c>
      <c r="E96" s="301">
        <f t="shared" si="40"/>
        <v>9016.992892</v>
      </c>
      <c r="F96" s="318">
        <f t="shared" si="31"/>
        <v>0.03214422716</v>
      </c>
      <c r="G96" s="301">
        <f t="shared" si="41"/>
        <v>43236.82176</v>
      </c>
      <c r="H96" s="318">
        <f t="shared" si="32"/>
        <v>0.0550562814</v>
      </c>
      <c r="I96" s="301">
        <f t="shared" si="42"/>
        <v>68839.60316</v>
      </c>
      <c r="J96" s="318">
        <f t="shared" si="34"/>
        <v>0.03717389613</v>
      </c>
    </row>
    <row r="97">
      <c r="A97" s="304"/>
      <c r="B97" s="305" t="s">
        <v>545</v>
      </c>
      <c r="C97" s="301">
        <f t="shared" si="39"/>
        <v>0</v>
      </c>
      <c r="D97" s="318">
        <f t="shared" si="30"/>
        <v>0</v>
      </c>
      <c r="E97" s="301">
        <f t="shared" si="40"/>
        <v>563.1288868</v>
      </c>
      <c r="F97" s="318">
        <f t="shared" si="31"/>
        <v>0.002007470015</v>
      </c>
      <c r="G97" s="301">
        <f t="shared" si="41"/>
        <v>2689.901501</v>
      </c>
      <c r="H97" s="318">
        <f t="shared" si="32"/>
        <v>0.003425228034</v>
      </c>
      <c r="I97" s="301">
        <f t="shared" si="42"/>
        <v>4042.421258</v>
      </c>
      <c r="J97" s="318">
        <f t="shared" si="34"/>
        <v>0.002182937452</v>
      </c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</row>
    <row r="98">
      <c r="A98" s="306"/>
      <c r="B98" s="307" t="s">
        <v>546</v>
      </c>
      <c r="C98" s="322">
        <f t="shared" si="39"/>
        <v>4425.235938</v>
      </c>
      <c r="D98" s="323">
        <f t="shared" si="30"/>
        <v>-0.04962032411</v>
      </c>
      <c r="E98" s="322">
        <f t="shared" si="40"/>
        <v>46560.66899</v>
      </c>
      <c r="F98" s="323">
        <f t="shared" si="31"/>
        <v>0.1659818011</v>
      </c>
      <c r="G98" s="322">
        <f t="shared" si="41"/>
        <v>167966.8503</v>
      </c>
      <c r="H98" s="323">
        <f t="shared" si="32"/>
        <v>0.2138832087</v>
      </c>
      <c r="I98" s="322">
        <f t="shared" si="42"/>
        <v>250323.7836</v>
      </c>
      <c r="J98" s="323">
        <f t="shared" si="34"/>
        <v>0.1351766992</v>
      </c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19"/>
      <c r="AQ98" s="319"/>
      <c r="AR98" s="319"/>
      <c r="AS98" s="319"/>
      <c r="AT98" s="319"/>
      <c r="AU98" s="319"/>
      <c r="AV98" s="319"/>
      <c r="AW98" s="319"/>
      <c r="AX98" s="319"/>
    </row>
    <row r="99">
      <c r="A99" s="304"/>
      <c r="B99" s="305" t="s">
        <v>548</v>
      </c>
      <c r="C99" s="317"/>
      <c r="D99" s="318">
        <f t="shared" si="30"/>
        <v>0</v>
      </c>
      <c r="E99" s="317"/>
      <c r="F99" s="318">
        <f t="shared" si="31"/>
        <v>0</v>
      </c>
      <c r="G99" s="317"/>
      <c r="H99" s="318">
        <f t="shared" si="32"/>
        <v>0</v>
      </c>
      <c r="I99" s="317"/>
      <c r="J99" s="318">
        <f t="shared" si="34"/>
        <v>0</v>
      </c>
    </row>
    <row r="100">
      <c r="A100" s="304"/>
      <c r="B100" s="305" t="s">
        <v>549</v>
      </c>
      <c r="C100" s="317"/>
      <c r="D100" s="318">
        <f t="shared" si="30"/>
        <v>0</v>
      </c>
      <c r="E100" s="317"/>
      <c r="F100" s="318">
        <f t="shared" si="31"/>
        <v>0</v>
      </c>
      <c r="G100" s="317"/>
      <c r="H100" s="318">
        <f t="shared" si="32"/>
        <v>0</v>
      </c>
      <c r="I100" s="317"/>
      <c r="J100" s="318">
        <f t="shared" si="34"/>
        <v>0</v>
      </c>
    </row>
  </sheetData>
  <mergeCells count="8">
    <mergeCell ref="C54:D54"/>
    <mergeCell ref="E54:F54"/>
    <mergeCell ref="G54:H54"/>
    <mergeCell ref="I54:J54"/>
    <mergeCell ref="C80:D80"/>
    <mergeCell ref="E80:F80"/>
    <mergeCell ref="G80:H80"/>
    <mergeCell ref="I80:J80"/>
  </mergeCells>
  <conditionalFormatting sqref="B3:AX24 B44:B47 C46:AX47 B56 B59:B60 B69:B72 B82 B95:B98">
    <cfRule type="cellIs" dxfId="5" priority="1" operator="lessThan">
      <formula>0</formula>
    </cfRule>
  </conditionalFormatting>
  <conditionalFormatting sqref="C56:J74 C82:C100 D82:D90 E82:E100 F82:F90 G82:G100 H82:H90 I82:I100 J82:J90">
    <cfRule type="cellIs" dxfId="4" priority="2" operator="lessThan">
      <formula>0</formula>
    </cfRule>
  </conditionalFormatting>
  <conditionalFormatting sqref="D91:D98 F91:F98 H91:H98 J91:J98">
    <cfRule type="cellIs" dxfId="2" priority="3" operator="lessThan">
      <formula>0</formula>
    </cfRule>
  </conditionalFormatting>
  <conditionalFormatting sqref="C31:AX31 C35:AX35 C39:AX39">
    <cfRule type="cellIs" dxfId="4" priority="4" operator="lessThan">
      <formula>0</formula>
    </cfRule>
  </conditionalFormatting>
  <conditionalFormatting sqref="C32:AX34 C36:AX38 C40:AX46">
    <cfRule type="cellIs" dxfId="4" priority="5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44.63"/>
    <col customWidth="1" min="4" max="4" width="19.13"/>
    <col customWidth="1" min="5" max="5" width="19.63"/>
    <col customWidth="1" min="6" max="6" width="20.63"/>
    <col customWidth="1" min="7" max="7" width="17.88"/>
  </cols>
  <sheetData>
    <row r="2">
      <c r="B2" s="10" t="str">
        <f t="array" ref="B2:AY6">Summary!A3:AZ7</f>
        <v/>
      </c>
      <c r="C2" s="10"/>
      <c r="D2" s="324">
        <v>46143.0</v>
      </c>
      <c r="E2" s="324">
        <v>46508.0</v>
      </c>
      <c r="F2" s="324">
        <v>46874.0</v>
      </c>
      <c r="G2" s="324">
        <v>47239.0</v>
      </c>
      <c r="H2" s="324">
        <v>47604.0</v>
      </c>
      <c r="I2" s="324">
        <v>47969.0</v>
      </c>
      <c r="J2" s="324">
        <v>48335.0</v>
      </c>
      <c r="K2" s="324">
        <v>48700.0</v>
      </c>
      <c r="L2" s="324">
        <v>49065.0</v>
      </c>
      <c r="M2" s="324">
        <v>49430.0</v>
      </c>
      <c r="N2" s="324">
        <v>49796.0</v>
      </c>
      <c r="O2" s="324">
        <v>50161.0</v>
      </c>
      <c r="P2" s="324">
        <v>50526.0</v>
      </c>
      <c r="Q2" s="324">
        <v>50891.0</v>
      </c>
      <c r="R2" s="324">
        <v>51257.0</v>
      </c>
      <c r="S2" s="324">
        <v>51622.0</v>
      </c>
      <c r="T2" s="324">
        <v>51987.0</v>
      </c>
      <c r="U2" s="324">
        <v>52352.0</v>
      </c>
      <c r="V2" s="324">
        <v>52718.0</v>
      </c>
      <c r="W2" s="324">
        <v>53083.0</v>
      </c>
      <c r="X2" s="324">
        <v>53448.0</v>
      </c>
      <c r="Y2" s="324">
        <v>53813.0</v>
      </c>
      <c r="Z2" s="324">
        <v>54179.0</v>
      </c>
      <c r="AA2" s="324">
        <v>54544.0</v>
      </c>
      <c r="AB2" s="324">
        <v>54909.0</v>
      </c>
      <c r="AC2" s="324">
        <v>55274.0</v>
      </c>
      <c r="AD2" s="324">
        <v>55640.0</v>
      </c>
      <c r="AE2" s="324">
        <v>56005.0</v>
      </c>
      <c r="AF2" s="324">
        <v>56370.0</v>
      </c>
      <c r="AG2" s="324">
        <v>56735.0</v>
      </c>
      <c r="AH2" s="324">
        <v>57101.0</v>
      </c>
      <c r="AI2" s="324">
        <v>57466.0</v>
      </c>
      <c r="AJ2" s="324">
        <v>57831.0</v>
      </c>
      <c r="AK2" s="324">
        <v>58196.0</v>
      </c>
      <c r="AL2" s="324">
        <v>58562.0</v>
      </c>
      <c r="AM2" s="324">
        <v>58927.0</v>
      </c>
      <c r="AN2" s="324">
        <v>59292.0</v>
      </c>
      <c r="AO2" s="324">
        <v>59657.0</v>
      </c>
      <c r="AP2" s="324">
        <v>60023.0</v>
      </c>
      <c r="AQ2" s="324">
        <v>60388.0</v>
      </c>
      <c r="AR2" s="324">
        <v>60753.0</v>
      </c>
      <c r="AS2" s="324">
        <v>61118.0</v>
      </c>
      <c r="AT2" s="324">
        <v>61484.0</v>
      </c>
      <c r="AU2" s="324">
        <v>61849.0</v>
      </c>
      <c r="AV2" s="324">
        <v>62214.0</v>
      </c>
      <c r="AW2" s="324">
        <v>62579.0</v>
      </c>
      <c r="AX2" s="324">
        <v>62945.0</v>
      </c>
      <c r="AY2" s="324">
        <v>63310.0</v>
      </c>
    </row>
    <row r="3">
      <c r="B3" s="10"/>
      <c r="C3" s="10" t="s">
        <v>532</v>
      </c>
      <c r="D3" s="325">
        <v>50845.56</v>
      </c>
      <c r="E3" s="325">
        <v>50845.56</v>
      </c>
      <c r="F3" s="325">
        <v>50845.56</v>
      </c>
      <c r="G3" s="325">
        <v>50845.56</v>
      </c>
      <c r="H3" s="325">
        <v>50845.56</v>
      </c>
      <c r="I3" s="325">
        <v>50845.56</v>
      </c>
      <c r="J3" s="325">
        <v>50845.56</v>
      </c>
      <c r="K3" s="325">
        <v>50845.56</v>
      </c>
      <c r="L3" s="325">
        <v>50845.56</v>
      </c>
      <c r="M3" s="325">
        <v>50845.56</v>
      </c>
      <c r="N3" s="325">
        <v>50845.56</v>
      </c>
      <c r="O3" s="325">
        <v>50845.56</v>
      </c>
      <c r="P3" s="325">
        <v>50845.56</v>
      </c>
      <c r="Q3" s="325">
        <v>50845.56</v>
      </c>
      <c r="R3" s="325">
        <v>50845.56</v>
      </c>
      <c r="S3" s="325">
        <v>50845.56</v>
      </c>
      <c r="T3" s="325">
        <v>50845.56</v>
      </c>
      <c r="U3" s="325">
        <v>50845.56</v>
      </c>
      <c r="V3" s="325">
        <v>50845.56</v>
      </c>
      <c r="W3" s="325">
        <v>50845.56</v>
      </c>
      <c r="X3" s="325">
        <v>50845.56</v>
      </c>
      <c r="Y3" s="325">
        <v>50845.56</v>
      </c>
      <c r="Z3" s="325">
        <v>50845.56</v>
      </c>
      <c r="AA3" s="325">
        <v>50845.56</v>
      </c>
      <c r="AB3" s="325">
        <v>50845.56</v>
      </c>
      <c r="AC3" s="325">
        <v>50845.56</v>
      </c>
      <c r="AD3" s="325">
        <v>50845.56</v>
      </c>
      <c r="AE3" s="325">
        <v>50845.56</v>
      </c>
      <c r="AF3" s="325">
        <v>50845.56</v>
      </c>
      <c r="AG3" s="325">
        <v>50845.56</v>
      </c>
      <c r="AH3" s="325">
        <v>50845.56</v>
      </c>
      <c r="AI3" s="325">
        <v>50845.56</v>
      </c>
      <c r="AJ3" s="325">
        <v>50845.56</v>
      </c>
      <c r="AK3" s="325">
        <v>50845.56</v>
      </c>
      <c r="AL3" s="325">
        <v>50845.56</v>
      </c>
      <c r="AM3" s="325">
        <v>50845.56</v>
      </c>
      <c r="AN3" s="325">
        <v>50845.56</v>
      </c>
      <c r="AO3" s="325">
        <v>50845.56</v>
      </c>
      <c r="AP3" s="325">
        <v>50845.56</v>
      </c>
      <c r="AQ3" s="325">
        <v>50845.56</v>
      </c>
      <c r="AR3" s="325">
        <v>50845.56</v>
      </c>
      <c r="AS3" s="325">
        <v>50845.56</v>
      </c>
      <c r="AT3" s="325">
        <v>50845.56</v>
      </c>
      <c r="AU3" s="325">
        <v>50845.56</v>
      </c>
      <c r="AV3" s="325">
        <v>50845.56</v>
      </c>
      <c r="AW3" s="325">
        <v>50845.56</v>
      </c>
      <c r="AX3" s="325">
        <v>50845.56</v>
      </c>
      <c r="AY3" s="325">
        <v>50845.56</v>
      </c>
    </row>
    <row r="4">
      <c r="B4" s="10"/>
      <c r="C4" s="10" t="s">
        <v>350</v>
      </c>
      <c r="D4" s="325">
        <v>-33976.559633656965</v>
      </c>
      <c r="E4" s="325">
        <v>-33976.559633656965</v>
      </c>
      <c r="F4" s="325">
        <v>-33976.559633656965</v>
      </c>
      <c r="G4" s="325">
        <v>-33976.559633656965</v>
      </c>
      <c r="H4" s="325">
        <v>-33976.559633656965</v>
      </c>
      <c r="I4" s="325">
        <v>-33976.559633656965</v>
      </c>
      <c r="J4" s="325">
        <v>-33976.559633656965</v>
      </c>
      <c r="K4" s="325">
        <v>-33976.559633656965</v>
      </c>
      <c r="L4" s="325">
        <v>-33976.559633656965</v>
      </c>
      <c r="M4" s="325">
        <v>-33976.559633656965</v>
      </c>
      <c r="N4" s="325">
        <v>-33976.559633656965</v>
      </c>
      <c r="O4" s="325">
        <v>-33976.559633656965</v>
      </c>
      <c r="P4" s="325">
        <v>-33976.559633656965</v>
      </c>
      <c r="Q4" s="325">
        <v>-33976.559633656965</v>
      </c>
      <c r="R4" s="325">
        <v>-33976.559633656965</v>
      </c>
      <c r="S4" s="325">
        <v>-33976.559633656965</v>
      </c>
      <c r="T4" s="325">
        <v>-33976.559633656965</v>
      </c>
      <c r="U4" s="325">
        <v>-33976.559633656965</v>
      </c>
      <c r="V4" s="325">
        <v>-33976.559633656965</v>
      </c>
      <c r="W4" s="325">
        <v>-33976.559633656965</v>
      </c>
      <c r="X4" s="325">
        <v>-33976.559633656965</v>
      </c>
      <c r="Y4" s="325">
        <v>-33976.559633656965</v>
      </c>
      <c r="Z4" s="325">
        <v>-33976.559633656965</v>
      </c>
      <c r="AA4" s="325">
        <v>-33976.559633656965</v>
      </c>
      <c r="AB4" s="325">
        <v>-8000.0</v>
      </c>
      <c r="AC4" s="325">
        <v>0.0</v>
      </c>
      <c r="AD4" s="325">
        <v>0.0</v>
      </c>
      <c r="AE4" s="325">
        <v>0.0</v>
      </c>
      <c r="AF4" s="325">
        <v>0.0</v>
      </c>
      <c r="AG4" s="325">
        <v>0.0</v>
      </c>
      <c r="AH4" s="325">
        <v>0.0</v>
      </c>
      <c r="AI4" s="325">
        <v>0.0</v>
      </c>
      <c r="AJ4" s="325">
        <v>0.0</v>
      </c>
      <c r="AK4" s="325">
        <v>0.0</v>
      </c>
      <c r="AL4" s="325">
        <v>0.0</v>
      </c>
      <c r="AM4" s="325">
        <v>0.0</v>
      </c>
      <c r="AN4" s="325">
        <v>0.0</v>
      </c>
      <c r="AO4" s="325">
        <v>0.0</v>
      </c>
      <c r="AP4" s="325">
        <v>0.0</v>
      </c>
      <c r="AQ4" s="325">
        <v>0.0</v>
      </c>
      <c r="AR4" s="325">
        <v>0.0</v>
      </c>
      <c r="AS4" s="325">
        <v>0.0</v>
      </c>
      <c r="AT4" s="325">
        <v>0.0</v>
      </c>
      <c r="AU4" s="325">
        <v>0.0</v>
      </c>
      <c r="AV4" s="325">
        <v>0.0</v>
      </c>
      <c r="AW4" s="325">
        <v>0.0</v>
      </c>
      <c r="AX4" s="325">
        <v>0.0</v>
      </c>
      <c r="AY4" s="325">
        <v>0.0</v>
      </c>
    </row>
    <row r="5">
      <c r="B5" s="10"/>
      <c r="C5" s="10" t="s">
        <v>372</v>
      </c>
      <c r="D5" s="325">
        <v>0.0</v>
      </c>
      <c r="E5" s="325">
        <v>0.0</v>
      </c>
      <c r="F5" s="325">
        <v>0.0</v>
      </c>
      <c r="G5" s="325">
        <v>0.0</v>
      </c>
      <c r="H5" s="325">
        <v>0.0</v>
      </c>
      <c r="I5" s="325">
        <v>0.0</v>
      </c>
      <c r="J5" s="325">
        <v>0.0</v>
      </c>
      <c r="K5" s="325">
        <v>0.0</v>
      </c>
      <c r="L5" s="325">
        <v>0.0</v>
      </c>
      <c r="M5" s="325">
        <v>0.0</v>
      </c>
      <c r="N5" s="325">
        <v>0.0</v>
      </c>
      <c r="O5" s="325">
        <v>0.0</v>
      </c>
      <c r="P5" s="325">
        <v>0.0</v>
      </c>
      <c r="Q5" s="325">
        <v>0.0</v>
      </c>
      <c r="R5" s="325">
        <v>0.0</v>
      </c>
      <c r="S5" s="325">
        <v>0.0</v>
      </c>
      <c r="T5" s="325">
        <v>0.0</v>
      </c>
      <c r="U5" s="325">
        <v>0.0</v>
      </c>
      <c r="V5" s="325">
        <v>0.0</v>
      </c>
      <c r="W5" s="325">
        <v>0.0</v>
      </c>
      <c r="X5" s="325">
        <v>0.0</v>
      </c>
      <c r="Y5" s="325">
        <v>0.0</v>
      </c>
      <c r="Z5" s="325">
        <v>0.0</v>
      </c>
      <c r="AA5" s="325">
        <v>0.0</v>
      </c>
      <c r="AB5" s="325">
        <v>0.0</v>
      </c>
      <c r="AC5" s="325">
        <v>0.0</v>
      </c>
      <c r="AD5" s="325">
        <v>0.0</v>
      </c>
      <c r="AE5" s="325">
        <v>0.0</v>
      </c>
      <c r="AF5" s="325">
        <v>0.0</v>
      </c>
      <c r="AG5" s="325">
        <v>0.0</v>
      </c>
      <c r="AH5" s="325">
        <v>0.0</v>
      </c>
      <c r="AI5" s="325">
        <v>0.0</v>
      </c>
      <c r="AJ5" s="325">
        <v>0.0</v>
      </c>
      <c r="AK5" s="325">
        <v>0.0</v>
      </c>
      <c r="AL5" s="325">
        <v>0.0</v>
      </c>
      <c r="AM5" s="325">
        <v>0.0</v>
      </c>
      <c r="AN5" s="325">
        <v>0.0</v>
      </c>
      <c r="AO5" s="325">
        <v>0.0</v>
      </c>
      <c r="AP5" s="325">
        <v>0.0</v>
      </c>
      <c r="AQ5" s="325">
        <v>0.0</v>
      </c>
      <c r="AR5" s="325">
        <v>0.0</v>
      </c>
      <c r="AS5" s="325">
        <v>0.0</v>
      </c>
      <c r="AT5" s="325">
        <v>0.0</v>
      </c>
      <c r="AU5" s="325">
        <v>0.0</v>
      </c>
      <c r="AV5" s="325">
        <v>0.0</v>
      </c>
      <c r="AW5" s="325">
        <v>0.0</v>
      </c>
      <c r="AX5" s="325">
        <v>0.0</v>
      </c>
      <c r="AY5" s="325">
        <v>0.0</v>
      </c>
    </row>
    <row r="6">
      <c r="B6" s="10"/>
      <c r="C6" s="10" t="s">
        <v>380</v>
      </c>
      <c r="D6" s="325">
        <v>-15315.395117896902</v>
      </c>
      <c r="E6" s="325">
        <v>-15315.395117896902</v>
      </c>
      <c r="F6" s="325">
        <v>-15315.395117896902</v>
      </c>
      <c r="G6" s="325">
        <v>-15315.395117896902</v>
      </c>
      <c r="H6" s="325">
        <v>-15315.395117896902</v>
      </c>
      <c r="I6" s="325">
        <v>-15315.395117896902</v>
      </c>
      <c r="J6" s="325">
        <v>-15315.395117896902</v>
      </c>
      <c r="K6" s="325">
        <v>-15315.395117896902</v>
      </c>
      <c r="L6" s="325">
        <v>-15315.395117896902</v>
      </c>
      <c r="M6" s="325">
        <v>-15315.395117896902</v>
      </c>
      <c r="N6" s="325">
        <v>-15315.395117896902</v>
      </c>
      <c r="O6" s="325">
        <v>-15315.395117896902</v>
      </c>
      <c r="P6" s="325">
        <v>-15315.395117896902</v>
      </c>
      <c r="Q6" s="325">
        <v>-15315.395117896902</v>
      </c>
      <c r="R6" s="325">
        <v>-15315.395117896902</v>
      </c>
      <c r="S6" s="325">
        <v>-15315.395117896902</v>
      </c>
      <c r="T6" s="325">
        <v>-15315.395117896902</v>
      </c>
      <c r="U6" s="325">
        <v>-15315.395117896902</v>
      </c>
      <c r="V6" s="325">
        <v>-15315.395117896902</v>
      </c>
      <c r="W6" s="325">
        <v>-15315.395117896902</v>
      </c>
      <c r="X6" s="325">
        <v>-15315.395117896902</v>
      </c>
      <c r="Y6" s="325">
        <v>-15315.395117896902</v>
      </c>
      <c r="Z6" s="325">
        <v>-15315.395117896902</v>
      </c>
      <c r="AA6" s="325">
        <v>-15315.395117896902</v>
      </c>
      <c r="AB6" s="325">
        <v>-15315.395117896902</v>
      </c>
      <c r="AC6" s="325">
        <v>-15315.395117896902</v>
      </c>
      <c r="AD6" s="325">
        <v>-15315.395117896902</v>
      </c>
      <c r="AE6" s="325">
        <v>-15315.395117896902</v>
      </c>
      <c r="AF6" s="325">
        <v>-15315.395117896902</v>
      </c>
      <c r="AG6" s="325">
        <v>-15315.395117896902</v>
      </c>
      <c r="AH6" s="325">
        <v>-15315.395117896902</v>
      </c>
      <c r="AI6" s="325">
        <v>-15315.395117896902</v>
      </c>
      <c r="AJ6" s="325">
        <v>-15315.395117896902</v>
      </c>
      <c r="AK6" s="325">
        <v>-15315.395117896902</v>
      </c>
      <c r="AL6" s="325">
        <v>-15315.395117896902</v>
      </c>
      <c r="AM6" s="325">
        <v>50000.0</v>
      </c>
      <c r="AN6" s="325">
        <v>50000.0</v>
      </c>
      <c r="AO6" s="325">
        <v>50000.0</v>
      </c>
      <c r="AP6" s="325">
        <v>50000.0</v>
      </c>
      <c r="AQ6" s="325">
        <v>50000.0</v>
      </c>
      <c r="AR6" s="325">
        <v>50000.0</v>
      </c>
      <c r="AS6" s="325">
        <v>50000.0</v>
      </c>
      <c r="AT6" s="325">
        <v>50000.0</v>
      </c>
      <c r="AU6" s="325">
        <v>50000.0</v>
      </c>
      <c r="AV6" s="325">
        <v>50000.0</v>
      </c>
      <c r="AW6" s="325">
        <v>50000.0</v>
      </c>
      <c r="AX6" s="325">
        <v>50000.0</v>
      </c>
      <c r="AY6" s="325">
        <v>50000.0</v>
      </c>
    </row>
    <row r="21">
      <c r="J21" s="319"/>
    </row>
    <row r="37">
      <c r="A37" s="326" t="s">
        <v>567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27"/>
      <c r="B40" s="327">
        <v>46023.0</v>
      </c>
      <c r="C40" s="327">
        <v>46388.0</v>
      </c>
      <c r="D40" s="327">
        <v>46753.0</v>
      </c>
      <c r="E40" s="327">
        <v>47119.0</v>
      </c>
      <c r="F40" s="327">
        <v>47484.0</v>
      </c>
      <c r="G40" s="327">
        <v>47849.0</v>
      </c>
      <c r="H40" s="327">
        <v>48214.0</v>
      </c>
      <c r="I40" s="327">
        <v>48580.0</v>
      </c>
      <c r="J40" s="327">
        <v>48945.0</v>
      </c>
      <c r="K40" s="327">
        <v>49310.0</v>
      </c>
      <c r="L40" s="327">
        <v>49675.0</v>
      </c>
      <c r="M40" s="327">
        <v>50041.0</v>
      </c>
      <c r="N40" s="327">
        <v>50406.0</v>
      </c>
      <c r="O40" s="327">
        <v>50771.0</v>
      </c>
      <c r="P40" s="327">
        <v>51136.0</v>
      </c>
      <c r="Q40" s="327">
        <v>51502.0</v>
      </c>
      <c r="R40" s="327">
        <v>51867.0</v>
      </c>
      <c r="S40" s="327">
        <v>52232.0</v>
      </c>
      <c r="T40" s="327">
        <v>52597.0</v>
      </c>
      <c r="U40" s="328">
        <v>52963.0</v>
      </c>
      <c r="V40" s="127"/>
      <c r="W40" s="127"/>
      <c r="X40" s="127"/>
      <c r="Y40" s="127"/>
    </row>
    <row r="41">
      <c r="A41" s="329" t="s">
        <v>568</v>
      </c>
      <c r="B41" s="330">
        <f>Summary!C31</f>
        <v>-89181.92327</v>
      </c>
      <c r="C41" s="330">
        <f>Summary!D31</f>
        <v>823.0438665</v>
      </c>
      <c r="D41" s="330">
        <f>Summary!E31</f>
        <v>92378.29434</v>
      </c>
      <c r="E41" s="330">
        <f>Summary!F31</f>
        <v>185576.5014</v>
      </c>
      <c r="F41" s="330">
        <f>Summary!G31</f>
        <v>280516.7113</v>
      </c>
      <c r="G41" s="330">
        <f>Summary!H31</f>
        <v>377304.7963</v>
      </c>
      <c r="H41" s="330">
        <f>Summary!I31</f>
        <v>476053.94</v>
      </c>
      <c r="I41" s="330">
        <f>Summary!J31</f>
        <v>576885.1575</v>
      </c>
      <c r="J41" s="330">
        <f>Summary!K31</f>
        <v>679927.8525</v>
      </c>
      <c r="K41" s="330">
        <f>Summary!L31</f>
        <v>785320.4151</v>
      </c>
      <c r="L41" s="330">
        <f>Summary!M31</f>
        <v>893210.861</v>
      </c>
      <c r="M41" s="330">
        <f>Summary!N31</f>
        <v>1003757.518</v>
      </c>
      <c r="N41" s="330">
        <f>Summary!O31</f>
        <v>1117129.761</v>
      </c>
      <c r="O41" s="330">
        <f>Summary!P31</f>
        <v>1233508.799</v>
      </c>
      <c r="P41" s="330">
        <f>Summary!Q31</f>
        <v>1337456.844</v>
      </c>
      <c r="Q41" s="330">
        <f>Summary!R31</f>
        <v>1433385.46</v>
      </c>
      <c r="R41" s="330">
        <f>Summary!S31</f>
        <v>1532546.531</v>
      </c>
      <c r="S41" s="330">
        <f>Summary!T31</f>
        <v>1635171.824</v>
      </c>
      <c r="T41" s="330">
        <f>Summary!U31</f>
        <v>1741509.724</v>
      </c>
      <c r="U41" s="330">
        <f>Summary!V31</f>
        <v>1851826.425</v>
      </c>
      <c r="V41" s="127"/>
      <c r="W41" s="127"/>
      <c r="X41" s="127"/>
      <c r="Y41" s="127"/>
    </row>
    <row r="42">
      <c r="A42" s="331" t="s">
        <v>569</v>
      </c>
      <c r="B42" s="332">
        <f>Summary!C35</f>
        <v>-127481.719</v>
      </c>
      <c r="C42" s="332">
        <f>Summary!D35</f>
        <v>-17160.462</v>
      </c>
      <c r="D42" s="332">
        <f>Summary!E35</f>
        <v>96288.15357</v>
      </c>
      <c r="E42" s="332">
        <f>Summary!F35</f>
        <v>213011.6257</v>
      </c>
      <c r="F42" s="332">
        <f>Summary!G35</f>
        <v>333165.7744</v>
      </c>
      <c r="G42" s="332">
        <f>Summary!H35</f>
        <v>456915.2651</v>
      </c>
      <c r="H42" s="332">
        <f>Summary!I35</f>
        <v>584434.1681</v>
      </c>
      <c r="I42" s="332">
        <f>Summary!J35</f>
        <v>715906.5547</v>
      </c>
      <c r="J42" s="332">
        <f>Summary!K35</f>
        <v>851527.1339</v>
      </c>
      <c r="K42" s="332">
        <f>Summary!L35</f>
        <v>991501.9316</v>
      </c>
      <c r="L42" s="332">
        <f>Summary!M35</f>
        <v>1136049.016</v>
      </c>
      <c r="M42" s="332">
        <f>Summary!N35</f>
        <v>1285399.271</v>
      </c>
      <c r="N42" s="332">
        <f>Summary!O35</f>
        <v>1439797.224</v>
      </c>
      <c r="O42" s="332">
        <f>Summary!P35</f>
        <v>1599501.93</v>
      </c>
      <c r="P42" s="332">
        <f>Summary!Q35</f>
        <v>1749156.232</v>
      </c>
      <c r="Q42" s="332">
        <f>Summary!R35</f>
        <v>1893255.223</v>
      </c>
      <c r="R42" s="332">
        <f>Summary!S35</f>
        <v>2043137.313</v>
      </c>
      <c r="S42" s="332">
        <f>Summary!T35</f>
        <v>2199123.902</v>
      </c>
      <c r="T42" s="332">
        <f>Summary!U35</f>
        <v>2361556.232</v>
      </c>
      <c r="U42" s="332">
        <f>Summary!V35</f>
        <v>2530796.699</v>
      </c>
      <c r="V42" s="127"/>
      <c r="W42" s="127"/>
      <c r="X42" s="127"/>
      <c r="Y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333" t="s">
        <v>570</v>
      </c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>
      <c r="A71" s="127"/>
      <c r="B71" s="334"/>
      <c r="C71" s="335">
        <v>46143.0</v>
      </c>
      <c r="D71" s="335">
        <v>46508.0</v>
      </c>
      <c r="E71" s="335">
        <v>46874.0</v>
      </c>
      <c r="F71" s="335">
        <v>47239.0</v>
      </c>
      <c r="G71" s="335">
        <v>47604.0</v>
      </c>
      <c r="H71" s="335">
        <v>47969.0</v>
      </c>
      <c r="I71" s="335">
        <v>48335.0</v>
      </c>
      <c r="J71" s="335">
        <v>48700.0</v>
      </c>
      <c r="K71" s="335">
        <v>49065.0</v>
      </c>
      <c r="L71" s="335">
        <v>49430.0</v>
      </c>
      <c r="M71" s="335">
        <v>49796.0</v>
      </c>
      <c r="N71" s="335">
        <v>50161.0</v>
      </c>
      <c r="O71" s="335">
        <v>50526.0</v>
      </c>
      <c r="P71" s="335">
        <v>50891.0</v>
      </c>
      <c r="Q71" s="335">
        <v>51257.0</v>
      </c>
      <c r="R71" s="335">
        <v>51622.0</v>
      </c>
      <c r="S71" s="335">
        <v>51987.0</v>
      </c>
      <c r="T71" s="335">
        <v>52352.0</v>
      </c>
      <c r="U71" s="335">
        <v>52718.0</v>
      </c>
      <c r="V71" s="335">
        <v>53083.0</v>
      </c>
      <c r="W71" s="335">
        <v>53448.0</v>
      </c>
      <c r="X71" s="335">
        <v>53813.0</v>
      </c>
      <c r="Y71" s="335">
        <v>54179.0</v>
      </c>
      <c r="Z71" s="335">
        <v>54544.0</v>
      </c>
      <c r="AA71" s="335">
        <v>54909.0</v>
      </c>
      <c r="AB71" s="335">
        <v>55274.0</v>
      </c>
      <c r="AC71" s="335">
        <v>55640.0</v>
      </c>
      <c r="AD71" s="335">
        <v>56005.0</v>
      </c>
      <c r="AE71" s="335">
        <v>56370.0</v>
      </c>
      <c r="AF71" s="335">
        <v>56735.0</v>
      </c>
      <c r="AG71" s="335">
        <v>57101.0</v>
      </c>
      <c r="AH71" s="335">
        <v>57466.0</v>
      </c>
      <c r="AI71" s="335">
        <v>57831.0</v>
      </c>
      <c r="AJ71" s="335">
        <v>58196.0</v>
      </c>
      <c r="AK71" s="335">
        <v>58562.0</v>
      </c>
      <c r="AL71" s="335">
        <v>58927.0</v>
      </c>
      <c r="AM71" s="324"/>
      <c r="AN71" s="324"/>
      <c r="AO71" s="324"/>
      <c r="AP71" s="324"/>
      <c r="AQ71" s="324"/>
      <c r="AR71" s="324"/>
      <c r="AS71" s="324"/>
      <c r="AT71" s="324"/>
      <c r="AU71" s="324"/>
      <c r="AV71" s="324"/>
      <c r="AW71" s="324"/>
      <c r="AX71" s="324"/>
    </row>
    <row r="72">
      <c r="A72" s="127"/>
      <c r="B72" s="336" t="s">
        <v>390</v>
      </c>
      <c r="C72" s="337">
        <f>Summary!C9</f>
        <v>2160</v>
      </c>
      <c r="D72" s="337">
        <f>Summary!D9</f>
        <v>2203.2</v>
      </c>
      <c r="E72" s="337">
        <f>Summary!E9</f>
        <v>2247.264</v>
      </c>
      <c r="F72" s="337">
        <f>Summary!F9</f>
        <v>2292.20928</v>
      </c>
      <c r="G72" s="337">
        <f>Summary!G9</f>
        <v>2338.053466</v>
      </c>
      <c r="H72" s="337">
        <f>Summary!H9</f>
        <v>2384.814535</v>
      </c>
      <c r="I72" s="337">
        <f>Summary!I9</f>
        <v>2432.510826</v>
      </c>
      <c r="J72" s="337">
        <f>Summary!J9</f>
        <v>2481.161042</v>
      </c>
      <c r="K72" s="337">
        <f>Summary!K9</f>
        <v>2530.784263</v>
      </c>
      <c r="L72" s="337">
        <f>Summary!L9</f>
        <v>2581.399948</v>
      </c>
      <c r="M72" s="337">
        <f>Summary!M9</f>
        <v>2633.027947</v>
      </c>
      <c r="N72" s="337">
        <f>Summary!N9</f>
        <v>2685.688506</v>
      </c>
      <c r="O72" s="337">
        <f>Summary!O9</f>
        <v>2739.402276</v>
      </c>
      <c r="P72" s="337">
        <f>Summary!P9</f>
        <v>2794.190322</v>
      </c>
      <c r="Q72" s="337">
        <f>Summary!Q9</f>
        <v>2850.074128</v>
      </c>
      <c r="R72" s="337">
        <f>Summary!R9</f>
        <v>2907.075611</v>
      </c>
      <c r="S72" s="337">
        <f>Summary!S9</f>
        <v>2965.217123</v>
      </c>
      <c r="T72" s="337">
        <f>Summary!T9</f>
        <v>3024.521465</v>
      </c>
      <c r="U72" s="337">
        <f>Summary!U9</f>
        <v>3085.011895</v>
      </c>
      <c r="V72" s="337">
        <f>Summary!V9</f>
        <v>3146.712133</v>
      </c>
      <c r="W72" s="337">
        <f>Summary!W9</f>
        <v>3209.646375</v>
      </c>
      <c r="X72" s="337">
        <f>Summary!X9</f>
        <v>3273.839303</v>
      </c>
      <c r="Y72" s="337">
        <f>Summary!Y9</f>
        <v>3339.316089</v>
      </c>
      <c r="Z72" s="337">
        <f>Summary!Z9</f>
        <v>3406.102411</v>
      </c>
      <c r="AA72" s="337">
        <f>Summary!AA9</f>
        <v>3474.224459</v>
      </c>
      <c r="AB72" s="337">
        <f>Summary!AB9</f>
        <v>3543.708948</v>
      </c>
      <c r="AC72" s="337">
        <f>Summary!AC9</f>
        <v>3614.583127</v>
      </c>
      <c r="AD72" s="337">
        <f>Summary!AD9</f>
        <v>3686.87479</v>
      </c>
      <c r="AE72" s="337">
        <f>Summary!AE9</f>
        <v>3760.612285</v>
      </c>
      <c r="AF72" s="337">
        <f>Summary!AF9</f>
        <v>3835.824531</v>
      </c>
      <c r="AG72" s="337">
        <f>Summary!AG9</f>
        <v>3912.541022</v>
      </c>
      <c r="AH72" s="337">
        <f>Summary!AH9</f>
        <v>3990.791842</v>
      </c>
      <c r="AI72" s="337">
        <f>Summary!AI9</f>
        <v>4070.607679</v>
      </c>
      <c r="AJ72" s="337">
        <f>Summary!AJ9</f>
        <v>4152.019833</v>
      </c>
      <c r="AK72" s="337">
        <f>Summary!AK9</f>
        <v>4235.060229</v>
      </c>
      <c r="AL72" s="337">
        <f>Summary!AL9</f>
        <v>4319.761434</v>
      </c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</row>
    <row r="73">
      <c r="A73" s="127"/>
      <c r="B73" s="336" t="s">
        <v>409</v>
      </c>
      <c r="C73" s="337">
        <f>Summary!C11</f>
        <v>2070</v>
      </c>
      <c r="D73" s="337">
        <f>Summary!D11</f>
        <v>2070</v>
      </c>
      <c r="E73" s="337">
        <f>Summary!E11</f>
        <v>2070</v>
      </c>
      <c r="F73" s="337">
        <f>Summary!F11</f>
        <v>2070</v>
      </c>
      <c r="G73" s="337">
        <f>Summary!G11</f>
        <v>2070</v>
      </c>
      <c r="H73" s="337">
        <f>Summary!H11</f>
        <v>2070</v>
      </c>
      <c r="I73" s="337">
        <f>Summary!I11</f>
        <v>2070</v>
      </c>
      <c r="J73" s="337">
        <f>Summary!J11</f>
        <v>2070</v>
      </c>
      <c r="K73" s="337">
        <f>Summary!K11</f>
        <v>2070</v>
      </c>
      <c r="L73" s="337">
        <f>Summary!L11</f>
        <v>2070</v>
      </c>
      <c r="M73" s="337">
        <f>Summary!M11</f>
        <v>2070</v>
      </c>
      <c r="N73" s="337">
        <f>Summary!N11</f>
        <v>2070</v>
      </c>
      <c r="O73" s="337">
        <f>Summary!O11</f>
        <v>2070</v>
      </c>
      <c r="P73" s="337">
        <f>Summary!P11</f>
        <v>2070</v>
      </c>
      <c r="Q73" s="337">
        <f>Summary!Q11</f>
        <v>2070</v>
      </c>
      <c r="R73" s="337">
        <f>Summary!R11</f>
        <v>2070</v>
      </c>
      <c r="S73" s="337">
        <f>Summary!S11</f>
        <v>2070</v>
      </c>
      <c r="T73" s="337">
        <f>Summary!T11</f>
        <v>2070</v>
      </c>
      <c r="U73" s="337">
        <f>Summary!U11</f>
        <v>2070</v>
      </c>
      <c r="V73" s="337">
        <f>Summary!V11</f>
        <v>2070</v>
      </c>
      <c r="W73" s="337">
        <f>Summary!W11</f>
        <v>2070</v>
      </c>
      <c r="X73" s="337">
        <f>Summary!X11</f>
        <v>2070</v>
      </c>
      <c r="Y73" s="337">
        <f>Summary!Y11</f>
        <v>2070</v>
      </c>
      <c r="Z73" s="337">
        <f>Summary!Z11</f>
        <v>2070</v>
      </c>
      <c r="AA73" s="337">
        <f>Summary!AA11</f>
        <v>2070</v>
      </c>
      <c r="AB73" s="337">
        <f>Summary!AB11</f>
        <v>2070</v>
      </c>
      <c r="AC73" s="337">
        <f>Summary!AC11</f>
        <v>2070</v>
      </c>
      <c r="AD73" s="337">
        <f>Summary!AD11</f>
        <v>2070</v>
      </c>
      <c r="AE73" s="337">
        <f>Summary!AE11</f>
        <v>2070</v>
      </c>
      <c r="AF73" s="337">
        <f>Summary!AF11</f>
        <v>2070</v>
      </c>
      <c r="AG73" s="337">
        <f>Summary!AG11</f>
        <v>2070</v>
      </c>
      <c r="AH73" s="337">
        <f>Summary!AH11</f>
        <v>2070</v>
      </c>
      <c r="AI73" s="337">
        <f>Summary!AI11</f>
        <v>2070</v>
      </c>
      <c r="AJ73" s="337">
        <f>Summary!AJ11</f>
        <v>2070</v>
      </c>
      <c r="AK73" s="337">
        <f>Summary!AK11</f>
        <v>2070</v>
      </c>
      <c r="AL73" s="337">
        <f>Summary!AL11</f>
        <v>2070</v>
      </c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326" t="s">
        <v>571</v>
      </c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>
      <c r="A101" s="127"/>
      <c r="B101" s="327">
        <v>46023.0</v>
      </c>
      <c r="C101" s="327">
        <v>46388.0</v>
      </c>
      <c r="D101" s="327">
        <v>46753.0</v>
      </c>
      <c r="E101" s="327">
        <v>47119.0</v>
      </c>
      <c r="F101" s="327">
        <v>47484.0</v>
      </c>
      <c r="G101" s="327">
        <v>47849.0</v>
      </c>
      <c r="H101" s="327">
        <v>48214.0</v>
      </c>
      <c r="I101" s="327">
        <v>48580.0</v>
      </c>
      <c r="J101" s="327">
        <v>48945.0</v>
      </c>
      <c r="K101" s="327">
        <v>49310.0</v>
      </c>
      <c r="L101" s="327">
        <v>49675.0</v>
      </c>
      <c r="M101" s="327">
        <v>50041.0</v>
      </c>
      <c r="N101" s="327">
        <v>50406.0</v>
      </c>
      <c r="O101" s="327">
        <v>50771.0</v>
      </c>
      <c r="P101" s="327">
        <v>51136.0</v>
      </c>
      <c r="Q101" s="327">
        <v>51502.0</v>
      </c>
      <c r="R101" s="327">
        <v>51867.0</v>
      </c>
      <c r="S101" s="327">
        <v>52232.0</v>
      </c>
      <c r="T101" s="327">
        <v>52597.0</v>
      </c>
      <c r="U101" s="328">
        <v>52963.0</v>
      </c>
      <c r="V101" s="127"/>
      <c r="W101" s="127"/>
      <c r="X101" s="127"/>
      <c r="Y101" s="127"/>
    </row>
    <row r="102">
      <c r="A102" s="329" t="s">
        <v>568</v>
      </c>
      <c r="B102" s="330">
        <f>Summary!C31</f>
        <v>-89181.92327</v>
      </c>
      <c r="C102" s="330">
        <f>Summary!D31</f>
        <v>823.0438665</v>
      </c>
      <c r="D102" s="330">
        <f>Summary!E31</f>
        <v>92378.29434</v>
      </c>
      <c r="E102" s="330">
        <f>Summary!F31</f>
        <v>185576.5014</v>
      </c>
      <c r="F102" s="330">
        <f>Summary!G31</f>
        <v>280516.7113</v>
      </c>
      <c r="G102" s="330">
        <f>Summary!H31</f>
        <v>377304.7963</v>
      </c>
      <c r="H102" s="330">
        <f>Summary!I31</f>
        <v>476053.94</v>
      </c>
      <c r="I102" s="330">
        <f>Summary!J31</f>
        <v>576885.1575</v>
      </c>
      <c r="J102" s="330">
        <f>Summary!K31</f>
        <v>679927.8525</v>
      </c>
      <c r="K102" s="330">
        <f>Summary!L31</f>
        <v>785320.4151</v>
      </c>
      <c r="L102" s="330">
        <f>Summary!M31</f>
        <v>893210.861</v>
      </c>
      <c r="M102" s="330">
        <f>Summary!N31</f>
        <v>1003757.518</v>
      </c>
      <c r="N102" s="330">
        <f>Summary!O31</f>
        <v>1117129.761</v>
      </c>
      <c r="O102" s="330">
        <f>Summary!P31</f>
        <v>1233508.799</v>
      </c>
      <c r="P102" s="330">
        <f>Summary!Q31</f>
        <v>1337456.844</v>
      </c>
      <c r="Q102" s="330">
        <f>Summary!R31</f>
        <v>1433385.46</v>
      </c>
      <c r="R102" s="330">
        <f>Summary!S31</f>
        <v>1532546.531</v>
      </c>
      <c r="S102" s="330">
        <f>Summary!T31</f>
        <v>1635171.824</v>
      </c>
      <c r="T102" s="330">
        <f>Summary!U31</f>
        <v>1741509.724</v>
      </c>
      <c r="U102" s="330">
        <f>Summary!V31</f>
        <v>1851826.425</v>
      </c>
      <c r="V102" s="127"/>
      <c r="W102" s="127"/>
      <c r="X102" s="127"/>
      <c r="Y102" s="127"/>
    </row>
    <row r="103">
      <c r="A103" s="331" t="s">
        <v>572</v>
      </c>
      <c r="B103" s="332">
        <f>sum(Summary!C36:C38)+B102</f>
        <v>-84951.92327</v>
      </c>
      <c r="C103" s="332">
        <f>sum(Summary!D36:D38)+C102</f>
        <v>9326.243866</v>
      </c>
      <c r="D103" s="332">
        <f>sum(Summary!E36:E38)+D102</f>
        <v>105198.7583</v>
      </c>
      <c r="E103" s="332">
        <f>sum(Summary!F36:F38)+E102</f>
        <v>202759.1747</v>
      </c>
      <c r="F103" s="332">
        <f>sum(Summary!G36:G38)+F102</f>
        <v>302107.438</v>
      </c>
      <c r="G103" s="332">
        <f>sum(Summary!H36:H38)+G102</f>
        <v>403350.3376</v>
      </c>
      <c r="H103" s="332">
        <f>sum(Summary!I36:I38)+H102</f>
        <v>506601.9921</v>
      </c>
      <c r="I103" s="332">
        <f>sum(Summary!J36:J38)+I102</f>
        <v>611984.3706</v>
      </c>
      <c r="J103" s="332">
        <f>sum(Summary!K36:K38)+J102</f>
        <v>719627.85</v>
      </c>
      <c r="K103" s="332">
        <f>sum(Summary!L36:L38)+K102</f>
        <v>829671.8124</v>
      </c>
      <c r="L103" s="332">
        <f>sum(Summary!M36:M38)+L102</f>
        <v>942265.2863</v>
      </c>
      <c r="M103" s="332">
        <f>sum(Summary!N36:N38)+M102</f>
        <v>1057567.632</v>
      </c>
      <c r="N103" s="332">
        <f>sum(Summary!O36:O38)+N102</f>
        <v>1175749.277</v>
      </c>
      <c r="O103" s="332">
        <f>sum(Summary!P36:P38)+O102</f>
        <v>1296992.506</v>
      </c>
      <c r="P103" s="332">
        <f>sum(Summary!Q36:Q38)+P102</f>
        <v>1405860.624</v>
      </c>
      <c r="Q103" s="332">
        <f>sum(Summary!R36:R38)+Q102</f>
        <v>1506766.316</v>
      </c>
      <c r="R103" s="332">
        <f>sum(Summary!S36:S38)+R102</f>
        <v>1610962.604</v>
      </c>
      <c r="S103" s="332">
        <f>sum(Summary!T36:T38)+S102</f>
        <v>1718682.419</v>
      </c>
      <c r="T103" s="332">
        <f>sum(Summary!U36:U38)+T102</f>
        <v>1830175.331</v>
      </c>
      <c r="U103" s="332">
        <f>sum(Summary!V36:V38)+U102</f>
        <v>1945708.744</v>
      </c>
      <c r="V103" s="127"/>
      <c r="W103" s="127"/>
      <c r="X103" s="127"/>
      <c r="Y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</row>
    <row r="130">
      <c r="B130" s="333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</row>
    <row r="131" ht="22.5" customHeight="1">
      <c r="B131" s="127"/>
      <c r="C131" s="338" t="s">
        <v>573</v>
      </c>
      <c r="D131" s="339" t="s">
        <v>574</v>
      </c>
      <c r="E131" s="339" t="s">
        <v>251</v>
      </c>
      <c r="F131" s="339" t="s">
        <v>575</v>
      </c>
      <c r="G131" s="340" t="s">
        <v>251</v>
      </c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</row>
    <row r="132" ht="22.5" customHeight="1">
      <c r="B132" s="127"/>
      <c r="C132" s="341" t="s">
        <v>576</v>
      </c>
      <c r="D132" s="342">
        <f>Summary!G18</f>
        <v>1183.998862</v>
      </c>
      <c r="E132" s="343">
        <f>D132/Summary!G$4</f>
        <v>0.02328617998</v>
      </c>
      <c r="F132" s="342">
        <f>Summary!V18</f>
        <v>11895.48188</v>
      </c>
      <c r="G132" s="344">
        <f>F132/Summary!V$4</f>
        <v>0.2339532082</v>
      </c>
      <c r="H132" s="127"/>
      <c r="I132" s="127"/>
    </row>
    <row r="133" ht="22.5" customHeight="1">
      <c r="B133" s="127"/>
      <c r="C133" s="341" t="s">
        <v>577</v>
      </c>
      <c r="D133" s="342">
        <f>Summary!G19</f>
        <v>545.2731563</v>
      </c>
      <c r="E133" s="343">
        <f>D133/Summary!G$4</f>
        <v>0.01072410563</v>
      </c>
      <c r="F133" s="342">
        <f>Summary!V19</f>
        <v>7618.55748</v>
      </c>
      <c r="G133" s="344">
        <f>F133/Summary!V$4</f>
        <v>0.1498372224</v>
      </c>
      <c r="H133" s="127"/>
      <c r="I133" s="127"/>
    </row>
    <row r="134" ht="22.5" customHeight="1">
      <c r="B134" s="127"/>
      <c r="C134" s="341" t="s">
        <v>542</v>
      </c>
      <c r="D134" s="342">
        <f>Summary!G17</f>
        <v>105.6451569</v>
      </c>
      <c r="E134" s="343">
        <f>D134/Summary!G$4</f>
        <v>0.002077765628</v>
      </c>
      <c r="F134" s="342">
        <f>Summary!V17</f>
        <v>422.5806276</v>
      </c>
      <c r="G134" s="344">
        <f>F134/Summary!V$4</f>
        <v>0.008311062511</v>
      </c>
      <c r="H134" s="127"/>
      <c r="I134" s="127"/>
    </row>
    <row r="135" ht="22.5" customHeight="1">
      <c r="B135" s="127"/>
      <c r="C135" s="341" t="s">
        <v>578</v>
      </c>
      <c r="D135" s="342">
        <f>Summary!G16</f>
        <v>0</v>
      </c>
      <c r="E135" s="343">
        <f>D135/Summary!G$4</f>
        <v>0</v>
      </c>
      <c r="F135" s="342">
        <f>Summary!V16</f>
        <v>0</v>
      </c>
      <c r="G135" s="344">
        <f>F135/Summary!V$4</f>
        <v>0</v>
      </c>
      <c r="H135" s="127"/>
      <c r="I135" s="127"/>
    </row>
    <row r="136" ht="22.5" customHeight="1">
      <c r="B136" s="127"/>
      <c r="C136" s="341" t="s">
        <v>539</v>
      </c>
      <c r="D136" s="342">
        <f>Summary!G14</f>
        <v>0</v>
      </c>
      <c r="E136" s="343">
        <f>D136/Summary!G$4</f>
        <v>0</v>
      </c>
      <c r="F136" s="342">
        <f>Summary!V14</f>
        <v>0</v>
      </c>
      <c r="G136" s="344">
        <f>F136/Summary!V$4</f>
        <v>0</v>
      </c>
      <c r="H136" s="127"/>
      <c r="I136" s="127"/>
    </row>
    <row r="137" ht="22.5" customHeight="1">
      <c r="B137" s="127"/>
      <c r="C137" s="341" t="s">
        <v>540</v>
      </c>
      <c r="D137" s="342">
        <f>Summary!G15</f>
        <v>0</v>
      </c>
      <c r="E137" s="343">
        <f>D137/Summary!G$4</f>
        <v>0</v>
      </c>
      <c r="F137" s="342">
        <f>Summary!V15</f>
        <v>0</v>
      </c>
      <c r="G137" s="344">
        <f>F137/Summary!V$4</f>
        <v>0</v>
      </c>
      <c r="H137" s="127"/>
      <c r="I137" s="127"/>
    </row>
    <row r="138" ht="22.5" customHeight="1">
      <c r="B138" s="127"/>
      <c r="C138" s="345" t="s">
        <v>579</v>
      </c>
      <c r="D138" s="346">
        <f>Summary!G20</f>
        <v>-1553.605248</v>
      </c>
      <c r="E138" s="347">
        <f>D138/Summary!G$4</f>
        <v>-0.03055537688</v>
      </c>
      <c r="F138" s="346">
        <f>Summary!V20</f>
        <v>-1553.605248</v>
      </c>
      <c r="G138" s="348">
        <f>F138/Summary!V$4</f>
        <v>-0.03055537688</v>
      </c>
      <c r="H138" s="127"/>
      <c r="I138" s="127"/>
    </row>
    <row r="139">
      <c r="B139" s="127"/>
      <c r="C139" s="127"/>
      <c r="D139" s="127"/>
      <c r="E139" s="127"/>
      <c r="F139" s="127"/>
      <c r="G139" s="127"/>
      <c r="H139" s="127"/>
    </row>
    <row r="140">
      <c r="B140" s="127"/>
      <c r="C140" s="127"/>
      <c r="D140" s="127"/>
      <c r="E140" s="127"/>
      <c r="F140" s="127"/>
      <c r="G140" s="127"/>
      <c r="H140" s="127"/>
    </row>
    <row r="141">
      <c r="B141" s="333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</row>
    <row r="142" ht="22.5" customHeight="1">
      <c r="B142" s="127"/>
      <c r="C142" s="349" t="s">
        <v>580</v>
      </c>
      <c r="D142" s="350" t="s">
        <v>581</v>
      </c>
      <c r="E142" s="350" t="s">
        <v>251</v>
      </c>
      <c r="F142" s="350" t="s">
        <v>575</v>
      </c>
      <c r="G142" s="351" t="s">
        <v>251</v>
      </c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</row>
    <row r="143" ht="22.5" customHeight="1">
      <c r="B143" s="127"/>
      <c r="C143" s="341" t="s">
        <v>576</v>
      </c>
      <c r="D143" s="342">
        <f>Summary!G44</f>
        <v>36030.03216</v>
      </c>
      <c r="E143" s="343">
        <f>D143/Summary!G$31</f>
        <v>0.1284416604</v>
      </c>
      <c r="F143" s="342">
        <f>Summary!V44</f>
        <v>604577.2955</v>
      </c>
      <c r="G143" s="344">
        <f>F143/Summary!V$31</f>
        <v>0.3264762223</v>
      </c>
      <c r="H143" s="127"/>
      <c r="I143" s="127"/>
    </row>
    <row r="144" ht="22.5" customHeight="1">
      <c r="B144" s="127"/>
      <c r="C144" s="341" t="s">
        <v>577</v>
      </c>
      <c r="D144" s="342">
        <f>Summary!G45</f>
        <v>9016.992892</v>
      </c>
      <c r="E144" s="343">
        <f>D144/Summary!G$31</f>
        <v>0.03214422716</v>
      </c>
      <c r="F144" s="342">
        <f>Summary!V45</f>
        <v>301198.1887</v>
      </c>
      <c r="G144" s="344">
        <f>F144/Summary!V$31</f>
        <v>0.1626492551</v>
      </c>
      <c r="H144" s="127"/>
      <c r="I144" s="127"/>
    </row>
    <row r="145" ht="22.5" customHeight="1">
      <c r="B145" s="127"/>
      <c r="C145" s="341" t="s">
        <v>542</v>
      </c>
      <c r="D145" s="342">
        <f>Summary!G43</f>
        <v>1513.643939</v>
      </c>
      <c r="E145" s="343">
        <f>D145/Summary!G$31</f>
        <v>0.005395913605</v>
      </c>
      <c r="F145" s="342">
        <f>Summary!V43</f>
        <v>38250.65679</v>
      </c>
      <c r="G145" s="344">
        <f>F145/Summary!V$31</f>
        <v>0.02065563828</v>
      </c>
      <c r="H145" s="127"/>
      <c r="I145" s="127"/>
    </row>
    <row r="146" ht="22.5" customHeight="1">
      <c r="B146" s="127"/>
      <c r="C146" s="341" t="s">
        <v>579</v>
      </c>
      <c r="D146" s="342">
        <f>Summary!G46</f>
        <v>563.1288868</v>
      </c>
      <c r="E146" s="343">
        <f>D146/Summary!G$31</f>
        <v>0.002007470015</v>
      </c>
      <c r="F146" s="342">
        <f>Summary!V46</f>
        <v>12863.35712</v>
      </c>
      <c r="G146" s="344">
        <f>F146/Summary!V$31</f>
        <v>0.006946308222</v>
      </c>
      <c r="H146" s="127"/>
      <c r="I146" s="127"/>
    </row>
    <row r="147" ht="22.5" customHeight="1">
      <c r="B147" s="127"/>
      <c r="C147" s="341" t="s">
        <v>539</v>
      </c>
      <c r="D147" s="342">
        <f>Summary!G40</f>
        <v>563.1288868</v>
      </c>
      <c r="E147" s="343">
        <f>D147/Summary!G$31</f>
        <v>0.002007470015</v>
      </c>
      <c r="F147" s="342">
        <f>Summary!V40</f>
        <v>12863.35712</v>
      </c>
      <c r="G147" s="344">
        <f>F147/Summary!V$31</f>
        <v>0.006946308222</v>
      </c>
      <c r="H147" s="127"/>
      <c r="I147" s="127"/>
    </row>
    <row r="148" ht="22.5" customHeight="1">
      <c r="B148" s="127"/>
      <c r="C148" s="341" t="s">
        <v>578</v>
      </c>
      <c r="D148" s="342">
        <f>Summary!G42</f>
        <v>0</v>
      </c>
      <c r="E148" s="343">
        <f>D148/Summary!G$31</f>
        <v>0</v>
      </c>
      <c r="F148" s="342">
        <f>Summary!V42</f>
        <v>0</v>
      </c>
      <c r="G148" s="344">
        <f>F148/Summary!V$31</f>
        <v>0</v>
      </c>
      <c r="H148" s="127"/>
      <c r="I148" s="127"/>
    </row>
    <row r="149" ht="22.5" customHeight="1">
      <c r="B149" s="127"/>
      <c r="C149" s="345" t="s">
        <v>540</v>
      </c>
      <c r="D149" s="346">
        <f>Summary!G41</f>
        <v>0</v>
      </c>
      <c r="E149" s="347">
        <f>D149/Summary!G$31</f>
        <v>0</v>
      </c>
      <c r="F149" s="346">
        <f>Summary!V41</f>
        <v>0</v>
      </c>
      <c r="G149" s="348">
        <f>F149/Summary!V$31</f>
        <v>0</v>
      </c>
      <c r="H149" s="127"/>
      <c r="I149" s="127"/>
    </row>
    <row r="150">
      <c r="A150" s="127"/>
      <c r="B150" s="127"/>
      <c r="C150" s="127"/>
      <c r="D150" s="127"/>
      <c r="E150" s="127"/>
      <c r="F150" s="127"/>
      <c r="G150" s="127"/>
      <c r="H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  <row r="1001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</row>
    <row r="100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</row>
    <row r="1003">
      <c r="A1003" s="127"/>
      <c r="B1003" s="127"/>
      <c r="C1003" s="127"/>
      <c r="D1003" s="127"/>
      <c r="E1003" s="127"/>
      <c r="F1003" s="127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</row>
    <row r="1004">
      <c r="A1004" s="127"/>
      <c r="B1004" s="127"/>
      <c r="C1004" s="127"/>
      <c r="D1004" s="127"/>
      <c r="E1004" s="127"/>
      <c r="F1004" s="127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</row>
    <row r="1005">
      <c r="A1005" s="127"/>
      <c r="B1005" s="127"/>
      <c r="C1005" s="127"/>
      <c r="D1005" s="127"/>
      <c r="E1005" s="127"/>
      <c r="F1005" s="127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</row>
    <row r="1006">
      <c r="A1006" s="127"/>
      <c r="B1006" s="127"/>
      <c r="C1006" s="127"/>
      <c r="D1006" s="127"/>
      <c r="E1006" s="127"/>
      <c r="F1006" s="127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</row>
    <row r="1007">
      <c r="A1007" s="127"/>
      <c r="B1007" s="127"/>
      <c r="C1007" s="127"/>
      <c r="D1007" s="127"/>
      <c r="E1007" s="127"/>
      <c r="F1007" s="127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</row>
    <row r="1008">
      <c r="A1008" s="127"/>
      <c r="B1008" s="127"/>
      <c r="C1008" s="127"/>
      <c r="D1008" s="127"/>
      <c r="E1008" s="127"/>
      <c r="F1008" s="127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</row>
    <row r="1009">
      <c r="A1009" s="127"/>
      <c r="B1009" s="127"/>
      <c r="C1009" s="127"/>
      <c r="D1009" s="127"/>
      <c r="E1009" s="127"/>
      <c r="F1009" s="127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</row>
    <row r="1010">
      <c r="A1010" s="127"/>
      <c r="B1010" s="127"/>
      <c r="C1010" s="127"/>
      <c r="D1010" s="127"/>
      <c r="E1010" s="127"/>
      <c r="F1010" s="127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</row>
    <row r="1011">
      <c r="A1011" s="127"/>
      <c r="B1011" s="127"/>
      <c r="C1011" s="127"/>
      <c r="D1011" s="127"/>
      <c r="E1011" s="127"/>
      <c r="F1011" s="127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</row>
    <row r="1012">
      <c r="A1012" s="127"/>
      <c r="B1012" s="127"/>
      <c r="C1012" s="127"/>
      <c r="D1012" s="127"/>
      <c r="E1012" s="127"/>
      <c r="F1012" s="127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</row>
  </sheetData>
  <conditionalFormatting sqref="D3:AY7">
    <cfRule type="cellIs" dxfId="4" priority="1" operator="lessThan">
      <formula>0</formula>
    </cfRule>
  </conditionalFormatting>
  <dataValidations>
    <dataValidation type="custom" allowBlank="1" showDropDown="1" sqref="D132:F138 D143:F149">
      <formula1>AND(ISNUMBER(D132),(NOT(OR(NOT(ISERROR(DATEVALUE(D132))), AND(ISNUMBER(D132), LEFT(CELL("format", D132))="D")))))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582</v>
      </c>
    </row>
    <row r="2">
      <c r="A2" s="8" t="s">
        <v>583</v>
      </c>
    </row>
    <row r="3">
      <c r="A3" s="8" t="s">
        <v>584</v>
      </c>
    </row>
    <row r="4">
      <c r="A4" s="8" t="s">
        <v>585</v>
      </c>
    </row>
    <row r="5">
      <c r="A5" s="8" t="s">
        <v>586</v>
      </c>
    </row>
  </sheetData>
  <drawing r:id="rId1"/>
</worksheet>
</file>